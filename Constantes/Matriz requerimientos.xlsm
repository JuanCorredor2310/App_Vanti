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17"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grupovanti.sharepoint.com/sites/GerenciadeRegulacin/Shared Documents/General/2023/"/>
    </mc:Choice>
  </mc:AlternateContent>
  <xr:revisionPtr revIDLastSave="0" documentId="8_{A4257DFC-C50A-4ED1-9824-BE3DB4D36D21}" xr6:coauthVersionLast="47" xr6:coauthVersionMax="47" xr10:uidLastSave="{00000000-0000-0000-0000-000000000000}"/>
  <bookViews>
    <workbookView xWindow="20370" yWindow="-120" windowWidth="29040" windowHeight="15840" firstSheet="1" activeTab="1" xr2:uid="{84144399-2A4C-4165-A0CE-7DA0439A5075}"/>
  </bookViews>
  <sheets>
    <sheet name="REGISTRO" sheetId="3" r:id="rId1"/>
    <sheet name="BD" sheetId="2" r:id="rId2"/>
    <sheet name="Hoja2" sheetId="8" state="hidden" r:id="rId3"/>
    <sheet name="Hoja1" sheetId="6" state="hidden" r:id="rId4"/>
    <sheet name="Hoja3" sheetId="5" state="hidden" r:id="rId5"/>
  </sheets>
  <definedNames>
    <definedName name="_xlnm._FilterDatabase" localSheetId="1" hidden="1">BD!#REF!</definedName>
  </definedNames>
  <calcPr calcId="191028"/>
  <pivotCaches>
    <pivotCache cacheId="4241" r:id="rId6"/>
    <pivotCache cacheId="4242"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2" l="1"/>
  <c r="O2" i="2"/>
  <c r="P2" i="2"/>
  <c r="Q2" i="2"/>
  <c r="Q516" i="2"/>
  <c r="Q515" i="2"/>
  <c r="Q514" i="2"/>
  <c r="Q513" i="2"/>
  <c r="Q512" i="2"/>
  <c r="Q511" i="2"/>
  <c r="Q510" i="2"/>
  <c r="Q509" i="2"/>
  <c r="Q508" i="2"/>
  <c r="Q507" i="2"/>
  <c r="Q506" i="2"/>
  <c r="Q505" i="2"/>
  <c r="Q504" i="2"/>
  <c r="Q503" i="2"/>
  <c r="Q502" i="2"/>
  <c r="Q501" i="2"/>
  <c r="Q500" i="2"/>
  <c r="Q499" i="2"/>
  <c r="Q498" i="2"/>
  <c r="Q497" i="2"/>
  <c r="Q496" i="2"/>
  <c r="Q495" i="2"/>
  <c r="Q494" i="2"/>
  <c r="Q493" i="2"/>
  <c r="Q492" i="2"/>
  <c r="Q491" i="2"/>
  <c r="Q490" i="2"/>
  <c r="Q489" i="2"/>
  <c r="Q488" i="2"/>
  <c r="Q487" i="2"/>
  <c r="Q486" i="2"/>
  <c r="Q485" i="2"/>
  <c r="Q484" i="2"/>
  <c r="Q483" i="2"/>
  <c r="Q482" i="2"/>
  <c r="Q481" i="2"/>
  <c r="Q480" i="2"/>
  <c r="Q479" i="2"/>
  <c r="Q478" i="2"/>
  <c r="Q477" i="2"/>
  <c r="Q476" i="2"/>
  <c r="Q475" i="2"/>
  <c r="Q474" i="2"/>
  <c r="Q473" i="2"/>
  <c r="Q472" i="2"/>
  <c r="Q471" i="2"/>
  <c r="Q470" i="2"/>
  <c r="Q469" i="2"/>
  <c r="Q468" i="2"/>
  <c r="Q467" i="2"/>
  <c r="Q466" i="2"/>
  <c r="Q465" i="2"/>
  <c r="Q464" i="2"/>
  <c r="Q463" i="2"/>
  <c r="Q462" i="2"/>
  <c r="Q461" i="2"/>
  <c r="Q460" i="2"/>
  <c r="Q459" i="2"/>
  <c r="Q458" i="2"/>
  <c r="Q457" i="2"/>
  <c r="Q456" i="2"/>
  <c r="Q455" i="2"/>
  <c r="Q454" i="2"/>
  <c r="Q453" i="2"/>
  <c r="Q452" i="2"/>
  <c r="Q451" i="2"/>
  <c r="Q450" i="2"/>
  <c r="Q449" i="2"/>
  <c r="Q448" i="2"/>
  <c r="Q447" i="2"/>
  <c r="Q446" i="2"/>
  <c r="Q445" i="2"/>
  <c r="Q444" i="2"/>
  <c r="Q443" i="2"/>
  <c r="Q442" i="2"/>
  <c r="Q441" i="2"/>
  <c r="Q440" i="2"/>
  <c r="Q439" i="2"/>
  <c r="Q438" i="2"/>
  <c r="Q437" i="2"/>
  <c r="Q436" i="2"/>
  <c r="Q435" i="2"/>
  <c r="Q434" i="2"/>
  <c r="Q433" i="2"/>
  <c r="Q432" i="2"/>
  <c r="Q431" i="2"/>
  <c r="Q430" i="2"/>
  <c r="Q429" i="2"/>
  <c r="Q428" i="2"/>
  <c r="Q427" i="2"/>
  <c r="Q426" i="2"/>
  <c r="Q425" i="2"/>
  <c r="Q424" i="2"/>
  <c r="Q423" i="2"/>
  <c r="Q422" i="2"/>
  <c r="Q421" i="2"/>
  <c r="Q420" i="2"/>
  <c r="Q419" i="2"/>
  <c r="Q418" i="2"/>
  <c r="Q417" i="2"/>
  <c r="Q416" i="2"/>
  <c r="Q415" i="2"/>
  <c r="Q414" i="2"/>
  <c r="Q413" i="2"/>
  <c r="Q412" i="2"/>
  <c r="Q411" i="2"/>
  <c r="Q410" i="2"/>
  <c r="Q409" i="2"/>
  <c r="Q408" i="2"/>
  <c r="Q407" i="2"/>
  <c r="Q406" i="2"/>
  <c r="Q405" i="2"/>
  <c r="Q404" i="2"/>
  <c r="Q403" i="2"/>
  <c r="Q402" i="2"/>
  <c r="Q401" i="2"/>
  <c r="Q400" i="2"/>
  <c r="Q399" i="2"/>
  <c r="Q398" i="2"/>
  <c r="Q397" i="2"/>
  <c r="Q396" i="2"/>
  <c r="Q395" i="2"/>
  <c r="Q394" i="2"/>
  <c r="Q393" i="2"/>
  <c r="Q392" i="2"/>
  <c r="Q391" i="2"/>
  <c r="Q390" i="2"/>
  <c r="Q389" i="2"/>
  <c r="Q388" i="2"/>
  <c r="Q387" i="2"/>
  <c r="Q386" i="2"/>
  <c r="Q385" i="2"/>
  <c r="Q384" i="2"/>
  <c r="Q383" i="2"/>
  <c r="Q382" i="2"/>
  <c r="Q381" i="2"/>
  <c r="Q380" i="2"/>
  <c r="Q379" i="2"/>
  <c r="Q378" i="2"/>
  <c r="Q377" i="2"/>
  <c r="Q376" i="2"/>
  <c r="Q375" i="2"/>
  <c r="Q374" i="2"/>
  <c r="Q373" i="2"/>
  <c r="Q372" i="2"/>
  <c r="Q371" i="2"/>
  <c r="Q370" i="2"/>
  <c r="Q369" i="2"/>
  <c r="Q368" i="2"/>
  <c r="Q367" i="2"/>
  <c r="Q366" i="2"/>
  <c r="Q365" i="2"/>
  <c r="Q364" i="2"/>
  <c r="Q363" i="2"/>
  <c r="Q362" i="2"/>
  <c r="Q361" i="2"/>
  <c r="Q360" i="2"/>
  <c r="Q359" i="2"/>
  <c r="Q358" i="2"/>
  <c r="Q357" i="2"/>
  <c r="Q356" i="2"/>
  <c r="Q355" i="2"/>
  <c r="Q354" i="2"/>
  <c r="Q353" i="2"/>
  <c r="Q352" i="2"/>
  <c r="Q351" i="2"/>
  <c r="Q350" i="2"/>
  <c r="Q349" i="2"/>
  <c r="Q348" i="2"/>
  <c r="Q347" i="2"/>
  <c r="Q346" i="2"/>
  <c r="Q345" i="2"/>
  <c r="Q344" i="2"/>
  <c r="Q343" i="2"/>
  <c r="Q342" i="2"/>
  <c r="Q341" i="2"/>
  <c r="Q340" i="2"/>
  <c r="Q339" i="2"/>
  <c r="Q338" i="2"/>
  <c r="Q337" i="2"/>
  <c r="Q336" i="2"/>
  <c r="Q335" i="2"/>
  <c r="Q334" i="2"/>
  <c r="Q333" i="2"/>
  <c r="Q332" i="2"/>
  <c r="Q331" i="2"/>
  <c r="Q330" i="2"/>
  <c r="Q329" i="2"/>
  <c r="Q328" i="2"/>
  <c r="Q327"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L3" i="2" l="1"/>
  <c r="O3" i="2"/>
  <c r="P3" i="2"/>
  <c r="L4" i="2"/>
  <c r="O4" i="2"/>
  <c r="P4" i="2"/>
  <c r="L5" i="2"/>
  <c r="O5" i="2"/>
  <c r="P5" i="2"/>
  <c r="L6" i="2"/>
  <c r="O6" i="2"/>
  <c r="P6" i="2"/>
  <c r="L7" i="2"/>
  <c r="O7" i="2"/>
  <c r="P7" i="2"/>
  <c r="L8" i="2"/>
  <c r="O8" i="2"/>
  <c r="P8" i="2"/>
  <c r="L9" i="2"/>
  <c r="O9" i="2"/>
  <c r="P9" i="2"/>
  <c r="L10" i="2"/>
  <c r="O10" i="2"/>
  <c r="P10" i="2"/>
  <c r="L11" i="2"/>
  <c r="O11" i="2"/>
  <c r="P11" i="2"/>
  <c r="L12" i="2"/>
  <c r="O12" i="2"/>
  <c r="P12" i="2"/>
  <c r="L13" i="2"/>
  <c r="O13" i="2"/>
  <c r="P13" i="2"/>
  <c r="L14" i="2"/>
  <c r="O14" i="2"/>
  <c r="P14" i="2"/>
  <c r="L15" i="2"/>
  <c r="O15" i="2"/>
  <c r="P15" i="2"/>
  <c r="L16" i="2"/>
  <c r="O16" i="2"/>
  <c r="P16" i="2"/>
  <c r="L17" i="2"/>
  <c r="O17" i="2"/>
  <c r="P17" i="2"/>
  <c r="L18" i="2"/>
  <c r="O18" i="2"/>
  <c r="P18" i="2"/>
  <c r="L19" i="2"/>
  <c r="O19" i="2"/>
  <c r="P19" i="2"/>
  <c r="L20" i="2"/>
  <c r="O20" i="2"/>
  <c r="P20" i="2"/>
  <c r="L21" i="2"/>
  <c r="O21" i="2"/>
  <c r="P21" i="2"/>
  <c r="L22" i="2"/>
  <c r="O22" i="2"/>
  <c r="P22" i="2"/>
  <c r="L23" i="2"/>
  <c r="O23" i="2"/>
  <c r="P23" i="2"/>
  <c r="L24" i="2"/>
  <c r="O24" i="2"/>
  <c r="P24" i="2"/>
  <c r="L25" i="2"/>
  <c r="O25" i="2"/>
  <c r="P25" i="2"/>
  <c r="L26" i="2"/>
  <c r="O26" i="2"/>
  <c r="P26" i="2"/>
  <c r="L27" i="2"/>
  <c r="O27" i="2"/>
  <c r="P27" i="2"/>
  <c r="L164" i="2"/>
  <c r="P163" i="2"/>
  <c r="P162" i="2"/>
  <c r="P161" i="2"/>
  <c r="L83" i="2"/>
  <c r="P82" i="2"/>
  <c r="P50" i="2"/>
  <c r="L45" i="2"/>
  <c r="L43" i="2"/>
  <c r="L41" i="2"/>
  <c r="L39" i="2"/>
  <c r="L35" i="2"/>
  <c r="L34" i="2"/>
  <c r="P33" i="2"/>
  <c r="L31" i="2"/>
  <c r="L29" i="2"/>
  <c r="L28" i="2"/>
  <c r="O28" i="2"/>
  <c r="O29" i="2"/>
  <c r="P29" i="2"/>
  <c r="L30" i="2"/>
  <c r="O30" i="2"/>
  <c r="P30" i="2"/>
  <c r="O31" i="2"/>
  <c r="L32" i="2"/>
  <c r="O32" i="2"/>
  <c r="P32" i="2"/>
  <c r="L33" i="2"/>
  <c r="O33" i="2"/>
  <c r="O34" i="2"/>
  <c r="O35" i="2"/>
  <c r="L36" i="2"/>
  <c r="O36" i="2"/>
  <c r="P36" i="2"/>
  <c r="L37" i="2"/>
  <c r="O37" i="2"/>
  <c r="P37" i="2"/>
  <c r="L38" i="2"/>
  <c r="O38" i="2"/>
  <c r="P38" i="2"/>
  <c r="O39" i="2"/>
  <c r="P39" i="2"/>
  <c r="L40" i="2"/>
  <c r="O40" i="2"/>
  <c r="P40" i="2"/>
  <c r="O41" i="2"/>
  <c r="P41" i="2"/>
  <c r="L42" i="2"/>
  <c r="O42" i="2"/>
  <c r="P42" i="2"/>
  <c r="O43" i="2"/>
  <c r="P43" i="2"/>
  <c r="L44" i="2"/>
  <c r="O44" i="2"/>
  <c r="P44" i="2"/>
  <c r="O45" i="2"/>
  <c r="O50" i="2"/>
  <c r="L55" i="2"/>
  <c r="O55" i="2"/>
  <c r="P55" i="2"/>
  <c r="L51" i="2"/>
  <c r="O51" i="2"/>
  <c r="P51" i="2"/>
  <c r="L52" i="2"/>
  <c r="O52" i="2"/>
  <c r="P52" i="2"/>
  <c r="L53" i="2"/>
  <c r="O53" i="2"/>
  <c r="P53" i="2"/>
  <c r="L56" i="2"/>
  <c r="O56" i="2"/>
  <c r="P56" i="2"/>
  <c r="L57" i="2"/>
  <c r="O57" i="2"/>
  <c r="P57" i="2"/>
  <c r="L54" i="2"/>
  <c r="O54" i="2"/>
  <c r="P54" i="2"/>
  <c r="L59" i="2"/>
  <c r="O59" i="2"/>
  <c r="P59" i="2"/>
  <c r="L60" i="2"/>
  <c r="O60" i="2"/>
  <c r="P60" i="2"/>
  <c r="L63" i="2"/>
  <c r="O63" i="2"/>
  <c r="P63" i="2"/>
  <c r="L58" i="2"/>
  <c r="O58" i="2"/>
  <c r="P58" i="2"/>
  <c r="L61" i="2"/>
  <c r="O61" i="2"/>
  <c r="P61" i="2"/>
  <c r="L62" i="2"/>
  <c r="O62" i="2"/>
  <c r="P62" i="2"/>
  <c r="L64" i="2"/>
  <c r="O64" i="2"/>
  <c r="P64" i="2"/>
  <c r="L65" i="2"/>
  <c r="O65" i="2"/>
  <c r="P65" i="2"/>
  <c r="L66" i="2"/>
  <c r="O66" i="2"/>
  <c r="P66" i="2"/>
  <c r="L67" i="2"/>
  <c r="O67" i="2"/>
  <c r="P67" i="2"/>
  <c r="L80" i="2"/>
  <c r="O80" i="2"/>
  <c r="P80" i="2"/>
  <c r="L81" i="2"/>
  <c r="O81" i="2"/>
  <c r="P81" i="2"/>
  <c r="L68" i="2"/>
  <c r="O68" i="2"/>
  <c r="P68" i="2"/>
  <c r="L69" i="2"/>
  <c r="O69" i="2"/>
  <c r="P69" i="2"/>
  <c r="L70" i="2"/>
  <c r="O70" i="2"/>
  <c r="P70" i="2"/>
  <c r="L71" i="2"/>
  <c r="O71" i="2"/>
  <c r="P71" i="2"/>
  <c r="L72" i="2"/>
  <c r="O72" i="2"/>
  <c r="P72" i="2"/>
  <c r="L73" i="2"/>
  <c r="O73" i="2"/>
  <c r="P73" i="2"/>
  <c r="L74" i="2"/>
  <c r="O74" i="2"/>
  <c r="P74" i="2"/>
  <c r="L75" i="2"/>
  <c r="O75" i="2"/>
  <c r="P75" i="2"/>
  <c r="L76" i="2"/>
  <c r="O76" i="2"/>
  <c r="P76" i="2"/>
  <c r="L77" i="2"/>
  <c r="O77" i="2"/>
  <c r="P77" i="2"/>
  <c r="L78" i="2"/>
  <c r="O78" i="2"/>
  <c r="P78" i="2"/>
  <c r="L79" i="2"/>
  <c r="O79" i="2"/>
  <c r="P79" i="2"/>
  <c r="L85" i="2"/>
  <c r="O85" i="2"/>
  <c r="P85" i="2"/>
  <c r="P127" i="2"/>
  <c r="O127" i="2"/>
  <c r="L127" i="2"/>
  <c r="L82" i="2"/>
  <c r="O82" i="2"/>
  <c r="L99" i="2"/>
  <c r="O99" i="2"/>
  <c r="P99" i="2"/>
  <c r="O83" i="2"/>
  <c r="P83" i="2"/>
  <c r="L84" i="2"/>
  <c r="O84" i="2"/>
  <c r="P84" i="2"/>
  <c r="L90" i="2"/>
  <c r="O90" i="2"/>
  <c r="P90" i="2"/>
  <c r="L94" i="2"/>
  <c r="O94" i="2"/>
  <c r="P94" i="2"/>
  <c r="L95" i="2"/>
  <c r="O95" i="2"/>
  <c r="P95" i="2"/>
  <c r="L113" i="2"/>
  <c r="O113" i="2"/>
  <c r="P113" i="2"/>
  <c r="L114" i="2"/>
  <c r="O114" i="2"/>
  <c r="P114" i="2"/>
  <c r="L133" i="2"/>
  <c r="O133" i="2"/>
  <c r="P133" i="2"/>
  <c r="L140" i="2"/>
  <c r="O140" i="2"/>
  <c r="P140" i="2"/>
  <c r="L135" i="2"/>
  <c r="O135" i="2"/>
  <c r="P135" i="2"/>
  <c r="L141" i="2"/>
  <c r="O141" i="2"/>
  <c r="P141" i="2"/>
  <c r="L134" i="2"/>
  <c r="O134" i="2"/>
  <c r="P134" i="2"/>
  <c r="L145" i="2"/>
  <c r="O145" i="2"/>
  <c r="P145" i="2"/>
  <c r="L139" i="2"/>
  <c r="O139" i="2"/>
  <c r="P139" i="2"/>
  <c r="L142" i="2"/>
  <c r="O142" i="2"/>
  <c r="P142" i="2"/>
  <c r="L86" i="2"/>
  <c r="O86" i="2"/>
  <c r="P86" i="2"/>
  <c r="O92" i="2"/>
  <c r="P92" i="2"/>
  <c r="O91" i="2"/>
  <c r="P91" i="2"/>
  <c r="O87" i="2"/>
  <c r="P87" i="2"/>
  <c r="O88" i="2"/>
  <c r="P88" i="2"/>
  <c r="O89" i="2"/>
  <c r="P89" i="2"/>
  <c r="O93" i="2"/>
  <c r="P93" i="2"/>
  <c r="O98" i="2"/>
  <c r="P98" i="2"/>
  <c r="O96" i="2"/>
  <c r="P96" i="2"/>
  <c r="O97" i="2"/>
  <c r="P97" i="2"/>
  <c r="O105" i="2"/>
  <c r="P105" i="2"/>
  <c r="O100" i="2"/>
  <c r="P100" i="2"/>
  <c r="L92" i="2"/>
  <c r="L91" i="2"/>
  <c r="L87" i="2"/>
  <c r="L88" i="2"/>
  <c r="L89" i="2"/>
  <c r="L93" i="2"/>
  <c r="L98" i="2"/>
  <c r="L96" i="2"/>
  <c r="L97" i="2"/>
  <c r="L105" i="2"/>
  <c r="L100" i="2"/>
  <c r="O101" i="2"/>
  <c r="P101" i="2"/>
  <c r="O104" i="2"/>
  <c r="P104" i="2"/>
  <c r="O106" i="2"/>
  <c r="P106" i="2"/>
  <c r="O102" i="2"/>
  <c r="P102" i="2"/>
  <c r="O103" i="2"/>
  <c r="P103" i="2"/>
  <c r="O107" i="2"/>
  <c r="P107" i="2"/>
  <c r="O108" i="2"/>
  <c r="P108" i="2"/>
  <c r="O109" i="2"/>
  <c r="P109" i="2"/>
  <c r="O110" i="2"/>
  <c r="P110" i="2"/>
  <c r="O111" i="2"/>
  <c r="P111" i="2"/>
  <c r="O46" i="2"/>
  <c r="P46" i="2"/>
  <c r="O47" i="2"/>
  <c r="P47" i="2"/>
  <c r="O48" i="2"/>
  <c r="P48" i="2"/>
  <c r="O49" i="2"/>
  <c r="P49" i="2"/>
  <c r="O237" i="2"/>
  <c r="P237" i="2"/>
  <c r="O112" i="2"/>
  <c r="P112" i="2"/>
  <c r="O115" i="2"/>
  <c r="P115" i="2"/>
  <c r="O116" i="2"/>
  <c r="P116" i="2"/>
  <c r="O117" i="2"/>
  <c r="P117" i="2"/>
  <c r="O118" i="2"/>
  <c r="P118" i="2"/>
  <c r="O119" i="2"/>
  <c r="P119" i="2"/>
  <c r="O120" i="2"/>
  <c r="P120" i="2"/>
  <c r="L101" i="2"/>
  <c r="L104" i="2"/>
  <c r="L106" i="2"/>
  <c r="L102" i="2"/>
  <c r="L103" i="2"/>
  <c r="L107" i="2"/>
  <c r="L108" i="2"/>
  <c r="L109" i="2"/>
  <c r="L110" i="2"/>
  <c r="L111" i="2"/>
  <c r="L116" i="2"/>
  <c r="L171" i="2"/>
  <c r="O171" i="2"/>
  <c r="P171" i="2"/>
  <c r="L137" i="2"/>
  <c r="O137" i="2"/>
  <c r="P137" i="2"/>
  <c r="L46" i="2"/>
  <c r="L47" i="2"/>
  <c r="L48" i="2"/>
  <c r="L49" i="2"/>
  <c r="L172" i="2"/>
  <c r="O172" i="2"/>
  <c r="P172" i="2"/>
  <c r="L146" i="2"/>
  <c r="O146" i="2"/>
  <c r="P146" i="2"/>
  <c r="L115" i="2"/>
  <c r="L117" i="2"/>
  <c r="L112" i="2"/>
  <c r="O122" i="2"/>
  <c r="P122" i="2"/>
  <c r="L122" i="2"/>
  <c r="O123" i="2"/>
  <c r="P123" i="2"/>
  <c r="O124" i="2"/>
  <c r="P124" i="2"/>
  <c r="O125" i="2"/>
  <c r="P125" i="2"/>
  <c r="O126" i="2"/>
  <c r="P126" i="2"/>
  <c r="O232" i="2"/>
  <c r="P232" i="2"/>
  <c r="O245" i="2"/>
  <c r="P245" i="2"/>
  <c r="L123" i="2"/>
  <c r="L124" i="2"/>
  <c r="L125" i="2"/>
  <c r="L126" i="2"/>
  <c r="L232" i="2"/>
  <c r="L245" i="2"/>
  <c r="O246" i="2"/>
  <c r="P246" i="2"/>
  <c r="O249" i="2"/>
  <c r="P249" i="2"/>
  <c r="O334" i="2"/>
  <c r="P334" i="2"/>
  <c r="O335" i="2"/>
  <c r="P335" i="2"/>
  <c r="L246" i="2"/>
  <c r="L249" i="2"/>
  <c r="L334" i="2"/>
  <c r="L335" i="2"/>
  <c r="O292" i="2"/>
  <c r="P292" i="2"/>
  <c r="L292" i="2"/>
  <c r="L119" i="2"/>
  <c r="L120" i="2"/>
  <c r="L121" i="2"/>
  <c r="L173" i="2"/>
  <c r="L128" i="2"/>
  <c r="L129" i="2"/>
  <c r="L136" i="2"/>
  <c r="L131" i="2"/>
  <c r="L132" i="2"/>
  <c r="L161" i="2"/>
  <c r="L162" i="2"/>
  <c r="L163" i="2"/>
  <c r="L147" i="2"/>
  <c r="L148" i="2"/>
  <c r="L149" i="2"/>
  <c r="L150" i="2"/>
  <c r="L143" i="2"/>
  <c r="L138" i="2"/>
  <c r="L151" i="2"/>
  <c r="L152" i="2"/>
  <c r="L153" i="2"/>
  <c r="L154" i="2"/>
  <c r="L174" i="2"/>
  <c r="L237" i="2"/>
  <c r="L130" i="2"/>
  <c r="L155" i="2"/>
  <c r="L144" i="2"/>
  <c r="L156" i="2"/>
  <c r="L157" i="2"/>
  <c r="L158" i="2"/>
  <c r="L159" i="2"/>
  <c r="L160" i="2"/>
  <c r="L165" i="2"/>
  <c r="L166" i="2"/>
  <c r="L167" i="2"/>
  <c r="L168" i="2"/>
  <c r="L169" i="2"/>
  <c r="L175" i="2"/>
  <c r="L176" i="2"/>
  <c r="L177" i="2"/>
  <c r="L178" i="2"/>
  <c r="L181" i="2"/>
  <c r="L179" i="2"/>
  <c r="L180" i="2"/>
  <c r="L182" i="2"/>
  <c r="L183" i="2"/>
  <c r="L184" i="2"/>
  <c r="L170" i="2"/>
  <c r="L186" i="2"/>
  <c r="L185" i="2"/>
  <c r="L187" i="2"/>
  <c r="L189" i="2"/>
  <c r="L190" i="2"/>
  <c r="L191" i="2"/>
  <c r="L192" i="2"/>
  <c r="L188" i="2"/>
  <c r="L358" i="2"/>
  <c r="L211" i="2"/>
  <c r="L212" i="2"/>
  <c r="L213" i="2"/>
  <c r="L344" i="2"/>
  <c r="L345" i="2"/>
  <c r="L193" i="2"/>
  <c r="L194" i="2"/>
  <c r="L195" i="2"/>
  <c r="L196" i="2"/>
  <c r="L197" i="2"/>
  <c r="L198" i="2"/>
  <c r="L199" i="2"/>
  <c r="L200" i="2"/>
  <c r="L201" i="2"/>
  <c r="L206" i="2"/>
  <c r="L207" i="2"/>
  <c r="L208" i="2"/>
  <c r="L209" i="2"/>
  <c r="L202" i="2"/>
  <c r="L203" i="2"/>
  <c r="L204" i="2"/>
  <c r="L205" i="2"/>
  <c r="L210" i="2"/>
  <c r="L217" i="2"/>
  <c r="L214" i="2"/>
  <c r="L215" i="2"/>
  <c r="L216" i="2"/>
  <c r="L218" i="2"/>
  <c r="L219" i="2"/>
  <c r="L220" i="2"/>
  <c r="L308" i="2"/>
  <c r="L226" i="2"/>
  <c r="L227" i="2"/>
  <c r="L221" i="2"/>
  <c r="L222" i="2"/>
  <c r="L223" i="2"/>
  <c r="L224" i="2"/>
  <c r="L225" i="2"/>
  <c r="L228" i="2"/>
  <c r="L230" i="2"/>
  <c r="L231" i="2"/>
  <c r="L234" i="2"/>
  <c r="L235" i="2"/>
  <c r="L236" i="2"/>
  <c r="L238" i="2"/>
  <c r="L229" i="2"/>
  <c r="L239" i="2"/>
  <c r="L233" i="2"/>
  <c r="L240" i="2"/>
  <c r="L241" i="2"/>
  <c r="L242" i="2"/>
  <c r="L243" i="2"/>
  <c r="L244" i="2"/>
  <c r="L247" i="2"/>
  <c r="L248" i="2"/>
  <c r="L250" i="2"/>
  <c r="L251" i="2"/>
  <c r="L252" i="2"/>
  <c r="L253" i="2"/>
  <c r="L254" i="2"/>
  <c r="L255" i="2"/>
  <c r="L257" i="2"/>
  <c r="L258" i="2"/>
  <c r="L259" i="2"/>
  <c r="L260" i="2"/>
  <c r="L256" i="2"/>
  <c r="L261" i="2"/>
  <c r="L262" i="2"/>
  <c r="L263" i="2"/>
  <c r="L264" i="2"/>
  <c r="L265" i="2"/>
  <c r="L266" i="2"/>
  <c r="L267" i="2"/>
  <c r="L268" i="2"/>
  <c r="L269" i="2"/>
  <c r="L270" i="2"/>
  <c r="L271" i="2"/>
  <c r="L272" i="2"/>
  <c r="L273" i="2"/>
  <c r="L274" i="2"/>
  <c r="L275" i="2"/>
  <c r="L276" i="2"/>
  <c r="L277" i="2"/>
  <c r="L280" i="2"/>
  <c r="L281" i="2"/>
  <c r="L282" i="2"/>
  <c r="L283" i="2"/>
  <c r="L284" i="2"/>
  <c r="L285" i="2"/>
  <c r="L286" i="2"/>
  <c r="L287" i="2"/>
  <c r="L288" i="2"/>
  <c r="L289" i="2"/>
  <c r="L290" i="2"/>
  <c r="L291" i="2"/>
  <c r="L293" i="2"/>
  <c r="L294" i="2"/>
  <c r="L295" i="2"/>
  <c r="L296" i="2"/>
  <c r="L297" i="2"/>
  <c r="L298" i="2"/>
  <c r="L299" i="2"/>
  <c r="L300" i="2"/>
  <c r="L302" i="2"/>
  <c r="L303" i="2"/>
  <c r="L304" i="2"/>
  <c r="L305" i="2"/>
  <c r="L306" i="2"/>
  <c r="L307" i="2"/>
  <c r="L310" i="2"/>
  <c r="L311" i="2"/>
  <c r="L312" i="2"/>
  <c r="L313" i="2"/>
  <c r="L314" i="2"/>
  <c r="L315" i="2"/>
  <c r="L316" i="2"/>
  <c r="L317" i="2"/>
  <c r="L318" i="2"/>
  <c r="L319" i="2"/>
  <c r="L320" i="2"/>
  <c r="L321" i="2"/>
  <c r="L322" i="2"/>
  <c r="L323" i="2"/>
  <c r="L324" i="2"/>
  <c r="L325" i="2"/>
  <c r="L326" i="2"/>
  <c r="L327" i="2"/>
  <c r="L328" i="2"/>
  <c r="L329" i="2"/>
  <c r="L330" i="2"/>
  <c r="L331" i="2"/>
  <c r="L332" i="2"/>
  <c r="L333" i="2"/>
  <c r="L336" i="2"/>
  <c r="L337" i="2"/>
  <c r="L338" i="2"/>
  <c r="L339" i="2"/>
  <c r="L340" i="2"/>
  <c r="L341" i="2"/>
  <c r="L342" i="2"/>
  <c r="L343" i="2"/>
  <c r="L346" i="2"/>
  <c r="L347" i="2"/>
  <c r="L348" i="2"/>
  <c r="L349" i="2"/>
  <c r="L350" i="2"/>
  <c r="L353" i="2"/>
  <c r="L354" i="2"/>
  <c r="L355" i="2"/>
  <c r="L356" i="2"/>
  <c r="L357" i="2"/>
  <c r="L363" i="2"/>
  <c r="L364" i="2"/>
  <c r="L365" i="2"/>
  <c r="L366" i="2"/>
  <c r="L367" i="2"/>
  <c r="L368" i="2"/>
  <c r="L369" i="2"/>
  <c r="L370" i="2"/>
  <c r="L402" i="2"/>
  <c r="L403" i="2"/>
  <c r="L359" i="2"/>
  <c r="L360" i="2"/>
  <c r="L361" i="2"/>
  <c r="L362" i="2"/>
  <c r="L278" i="2"/>
  <c r="L279" i="2"/>
  <c r="L301" i="2"/>
  <c r="L309" i="2"/>
  <c r="L351" i="2"/>
  <c r="L352" i="2"/>
  <c r="L371" i="2"/>
  <c r="L372" i="2"/>
  <c r="L373" i="2"/>
  <c r="L374" i="2"/>
  <c r="L375" i="2"/>
  <c r="L376" i="2"/>
  <c r="L377" i="2"/>
  <c r="L378" i="2"/>
  <c r="L379" i="2"/>
  <c r="L380" i="2"/>
  <c r="L381" i="2"/>
  <c r="L382" i="2"/>
  <c r="L383" i="2"/>
  <c r="L384" i="2"/>
  <c r="L385" i="2"/>
  <c r="L387" i="2"/>
  <c r="L388" i="2"/>
  <c r="L389" i="2"/>
  <c r="L390" i="2"/>
  <c r="L391" i="2"/>
  <c r="L392" i="2"/>
  <c r="L393" i="2"/>
  <c r="L394" i="2"/>
  <c r="L401" i="2"/>
  <c r="L396" i="2"/>
  <c r="L397" i="2"/>
  <c r="L398" i="2"/>
  <c r="L399" i="2"/>
  <c r="L400"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395" i="2"/>
  <c r="L386" i="2"/>
  <c r="L118" i="2"/>
  <c r="P121" i="2"/>
  <c r="O121" i="2"/>
  <c r="O173" i="2"/>
  <c r="P173" i="2"/>
  <c r="O165" i="2"/>
  <c r="P165" i="2"/>
  <c r="O128" i="2"/>
  <c r="P128" i="2"/>
  <c r="O129" i="2"/>
  <c r="P129" i="2"/>
  <c r="O136" i="2"/>
  <c r="P136" i="2"/>
  <c r="O131" i="2"/>
  <c r="P131" i="2"/>
  <c r="O157" i="2"/>
  <c r="O132" i="2"/>
  <c r="P132" i="2"/>
  <c r="O161" i="2"/>
  <c r="O162" i="2"/>
  <c r="O163" i="2"/>
  <c r="O164" i="2"/>
  <c r="O147" i="2"/>
  <c r="P147" i="2"/>
  <c r="O148" i="2"/>
  <c r="P148" i="2"/>
  <c r="O149" i="2"/>
  <c r="P149" i="2"/>
  <c r="O150" i="2"/>
  <c r="P150" i="2"/>
  <c r="O143" i="2"/>
  <c r="P143" i="2"/>
  <c r="O138" i="2"/>
  <c r="P138" i="2"/>
  <c r="O151" i="2"/>
  <c r="P151" i="2"/>
  <c r="O152" i="2"/>
  <c r="P152" i="2"/>
  <c r="O153" i="2"/>
  <c r="P153" i="2"/>
  <c r="O154" i="2"/>
  <c r="P154" i="2"/>
  <c r="O174" i="2"/>
  <c r="P174" i="2"/>
  <c r="O130" i="2"/>
  <c r="P130" i="2"/>
  <c r="P155" i="2"/>
  <c r="O155" i="2"/>
  <c r="O144" i="2"/>
  <c r="P144" i="2"/>
  <c r="O156" i="2"/>
  <c r="P156" i="2"/>
  <c r="P159" i="2"/>
  <c r="O159" i="2"/>
  <c r="P158" i="2"/>
  <c r="O158" i="2"/>
  <c r="P157" i="2"/>
  <c r="L50" i="2" l="1"/>
  <c r="P45" i="2"/>
  <c r="P35" i="2"/>
  <c r="P31" i="2"/>
  <c r="P164" i="2"/>
  <c r="P34" i="2"/>
  <c r="P28" i="2"/>
  <c r="P160" i="2"/>
  <c r="O160" i="2"/>
  <c r="O358" i="2"/>
  <c r="P358" i="2"/>
  <c r="P180" i="2"/>
  <c r="O180" i="2"/>
  <c r="P179" i="2"/>
  <c r="O179" i="2"/>
  <c r="P181" i="2"/>
  <c r="O181" i="2"/>
  <c r="P178" i="2"/>
  <c r="O178" i="2"/>
  <c r="P177" i="2"/>
  <c r="O177" i="2"/>
  <c r="P176" i="2"/>
  <c r="O176" i="2"/>
  <c r="P175" i="2"/>
  <c r="O175" i="2"/>
  <c r="P169" i="2"/>
  <c r="O169" i="2"/>
  <c r="P168" i="2"/>
  <c r="O168" i="2"/>
  <c r="P167" i="2"/>
  <c r="O167" i="2"/>
  <c r="P166" i="2"/>
  <c r="O166" i="2"/>
  <c r="O412" i="2"/>
  <c r="P412" i="2"/>
  <c r="O413" i="2"/>
  <c r="P413" i="2"/>
  <c r="P182" i="2" l="1"/>
  <c r="O182" i="2"/>
  <c r="P183" i="2"/>
  <c r="O183" i="2"/>
  <c r="O184" i="2"/>
  <c r="P184" i="2"/>
  <c r="P170" i="2"/>
  <c r="O170" i="2"/>
  <c r="P186" i="2"/>
  <c r="O186" i="2"/>
  <c r="P185" i="2"/>
  <c r="O185" i="2"/>
  <c r="P187" i="2"/>
  <c r="O187" i="2"/>
  <c r="O189" i="2"/>
  <c r="O190" i="2"/>
  <c r="O191" i="2"/>
  <c r="O192" i="2"/>
  <c r="O188" i="2"/>
  <c r="O211" i="2"/>
  <c r="O212" i="2"/>
  <c r="O213" i="2"/>
  <c r="O344" i="2"/>
  <c r="O345" i="2"/>
  <c r="O193" i="2"/>
  <c r="O194" i="2"/>
  <c r="O195" i="2"/>
  <c r="O196" i="2"/>
  <c r="O197" i="2"/>
  <c r="O198" i="2"/>
  <c r="O199" i="2"/>
  <c r="O200" i="2"/>
  <c r="O201" i="2"/>
  <c r="O206" i="2"/>
  <c r="O207" i="2"/>
  <c r="O208" i="2"/>
  <c r="O209" i="2"/>
  <c r="O202" i="2"/>
  <c r="O203" i="2"/>
  <c r="O204" i="2"/>
  <c r="O205" i="2"/>
  <c r="O210" i="2"/>
  <c r="O217" i="2"/>
  <c r="O214" i="2"/>
  <c r="O215" i="2"/>
  <c r="O216" i="2"/>
  <c r="O218" i="2"/>
  <c r="O219" i="2"/>
  <c r="O220" i="2"/>
  <c r="O308" i="2"/>
  <c r="O226" i="2"/>
  <c r="O227" i="2"/>
  <c r="O221" i="2"/>
  <c r="O222" i="2"/>
  <c r="O223" i="2"/>
  <c r="O224" i="2"/>
  <c r="O225" i="2"/>
  <c r="O228" i="2"/>
  <c r="O230" i="2"/>
  <c r="O231" i="2"/>
  <c r="O234" i="2"/>
  <c r="O235" i="2"/>
  <c r="O236" i="2"/>
  <c r="O238" i="2"/>
  <c r="O229" i="2"/>
  <c r="O239" i="2"/>
  <c r="O233" i="2"/>
  <c r="O240" i="2"/>
  <c r="O241" i="2"/>
  <c r="O242" i="2"/>
  <c r="O243" i="2"/>
  <c r="O244" i="2"/>
  <c r="O247" i="2"/>
  <c r="O248" i="2"/>
  <c r="O250" i="2"/>
  <c r="O251" i="2"/>
  <c r="O252" i="2"/>
  <c r="O253" i="2"/>
  <c r="O254" i="2"/>
  <c r="O255" i="2"/>
  <c r="O257" i="2"/>
  <c r="O258" i="2"/>
  <c r="O259" i="2"/>
  <c r="O260" i="2"/>
  <c r="O256" i="2"/>
  <c r="O261" i="2"/>
  <c r="O262" i="2"/>
  <c r="O263" i="2"/>
  <c r="O264" i="2"/>
  <c r="O265" i="2"/>
  <c r="O266" i="2"/>
  <c r="O267" i="2"/>
  <c r="O268" i="2"/>
  <c r="O269" i="2"/>
  <c r="O270" i="2"/>
  <c r="O271" i="2"/>
  <c r="O272" i="2"/>
  <c r="O273" i="2"/>
  <c r="O274" i="2"/>
  <c r="O275" i="2"/>
  <c r="O276" i="2"/>
  <c r="O277" i="2"/>
  <c r="O280" i="2"/>
  <c r="O281" i="2"/>
  <c r="O282" i="2"/>
  <c r="O283" i="2"/>
  <c r="O284" i="2"/>
  <c r="O285" i="2"/>
  <c r="O286" i="2"/>
  <c r="O287" i="2"/>
  <c r="O288" i="2"/>
  <c r="O289" i="2"/>
  <c r="O290" i="2"/>
  <c r="O291" i="2"/>
  <c r="O293" i="2"/>
  <c r="O294" i="2"/>
  <c r="O295" i="2"/>
  <c r="O296" i="2"/>
  <c r="O297" i="2"/>
  <c r="O298" i="2"/>
  <c r="O299" i="2"/>
  <c r="O300" i="2"/>
  <c r="O302" i="2"/>
  <c r="O303" i="2"/>
  <c r="O304" i="2"/>
  <c r="O305" i="2"/>
  <c r="O306" i="2"/>
  <c r="O307" i="2"/>
  <c r="O310" i="2"/>
  <c r="O311" i="2"/>
  <c r="O312" i="2"/>
  <c r="O313" i="2"/>
  <c r="O314" i="2"/>
  <c r="O315" i="2"/>
  <c r="O316" i="2"/>
  <c r="O317" i="2"/>
  <c r="O318" i="2"/>
  <c r="O319" i="2"/>
  <c r="O320" i="2"/>
  <c r="O321" i="2"/>
  <c r="O322" i="2"/>
  <c r="O323" i="2"/>
  <c r="O324" i="2"/>
  <c r="O325" i="2"/>
  <c r="O326" i="2"/>
  <c r="O327" i="2"/>
  <c r="O328" i="2"/>
  <c r="O329" i="2"/>
  <c r="O330" i="2"/>
  <c r="O331" i="2"/>
  <c r="O332" i="2"/>
  <c r="O333" i="2"/>
  <c r="O336" i="2"/>
  <c r="O337" i="2"/>
  <c r="O338" i="2"/>
  <c r="O339" i="2"/>
  <c r="O340" i="2"/>
  <c r="O341" i="2"/>
  <c r="O342" i="2"/>
  <c r="O343" i="2"/>
  <c r="O346" i="2"/>
  <c r="O347" i="2"/>
  <c r="O348" i="2"/>
  <c r="O349" i="2"/>
  <c r="O350" i="2"/>
  <c r="O353" i="2"/>
  <c r="O354" i="2"/>
  <c r="O355" i="2"/>
  <c r="O356" i="2"/>
  <c r="O357" i="2"/>
  <c r="O363" i="2"/>
  <c r="O364" i="2"/>
  <c r="O365" i="2"/>
  <c r="O366" i="2"/>
  <c r="O367" i="2"/>
  <c r="O368" i="2"/>
  <c r="O369" i="2"/>
  <c r="O370" i="2"/>
  <c r="O402" i="2"/>
  <c r="O403" i="2"/>
  <c r="O359" i="2"/>
  <c r="O360" i="2"/>
  <c r="O361" i="2"/>
  <c r="O362" i="2"/>
  <c r="O278" i="2"/>
  <c r="O279" i="2"/>
  <c r="O301" i="2"/>
  <c r="O309" i="2"/>
  <c r="O351" i="2"/>
  <c r="O352" i="2"/>
  <c r="O371" i="2"/>
  <c r="O372" i="2"/>
  <c r="O373" i="2"/>
  <c r="O374" i="2"/>
  <c r="O375" i="2"/>
  <c r="O376" i="2"/>
  <c r="O377" i="2"/>
  <c r="O378" i="2"/>
  <c r="O379" i="2"/>
  <c r="O380" i="2"/>
  <c r="O381" i="2"/>
  <c r="O382" i="2"/>
  <c r="O383" i="2"/>
  <c r="O384" i="2"/>
  <c r="O385" i="2"/>
  <c r="O387" i="2"/>
  <c r="O388" i="2"/>
  <c r="O389" i="2"/>
  <c r="O390" i="2"/>
  <c r="O391" i="2"/>
  <c r="O392" i="2"/>
  <c r="O393" i="2"/>
  <c r="O394" i="2"/>
  <c r="O401" i="2"/>
  <c r="O396" i="2"/>
  <c r="O397" i="2"/>
  <c r="O398" i="2"/>
  <c r="O399" i="2"/>
  <c r="O400" i="2"/>
  <c r="O404" i="2"/>
  <c r="O405" i="2"/>
  <c r="O406" i="2"/>
  <c r="O407" i="2"/>
  <c r="O408" i="2"/>
  <c r="O409" i="2"/>
  <c r="O410" i="2"/>
  <c r="O411"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395" i="2"/>
  <c r="O386" i="2"/>
  <c r="P189" i="2"/>
  <c r="P190" i="2"/>
  <c r="P191" i="2"/>
  <c r="P192" i="2"/>
  <c r="P188" i="2"/>
  <c r="P211" i="2"/>
  <c r="P212" i="2"/>
  <c r="P213" i="2"/>
  <c r="P344" i="2"/>
  <c r="P345" i="2"/>
  <c r="P193" i="2"/>
  <c r="P194" i="2"/>
  <c r="P195" i="2"/>
  <c r="P196" i="2"/>
  <c r="P197" i="2"/>
  <c r="P198" i="2"/>
  <c r="P199" i="2"/>
  <c r="P200" i="2"/>
  <c r="P201" i="2"/>
  <c r="P206" i="2"/>
  <c r="P207" i="2"/>
  <c r="P208" i="2"/>
  <c r="P209" i="2"/>
  <c r="P202" i="2"/>
  <c r="P203" i="2"/>
  <c r="P204" i="2"/>
  <c r="P205" i="2"/>
  <c r="P210" i="2"/>
  <c r="P217" i="2"/>
  <c r="P214" i="2"/>
  <c r="P215" i="2"/>
  <c r="P216" i="2"/>
  <c r="P218" i="2"/>
  <c r="P219" i="2"/>
  <c r="P220" i="2"/>
  <c r="P308" i="2"/>
  <c r="P226" i="2"/>
  <c r="P227" i="2"/>
  <c r="P221" i="2"/>
  <c r="P222" i="2"/>
  <c r="P223" i="2"/>
  <c r="P224" i="2"/>
  <c r="P225" i="2"/>
  <c r="P228" i="2"/>
  <c r="P230" i="2"/>
  <c r="P231" i="2"/>
  <c r="P234" i="2"/>
  <c r="P235" i="2"/>
  <c r="P236" i="2"/>
  <c r="P238" i="2"/>
  <c r="P229" i="2"/>
  <c r="P239" i="2"/>
  <c r="P233" i="2"/>
  <c r="P240" i="2"/>
  <c r="P241" i="2"/>
  <c r="P242" i="2"/>
  <c r="P243" i="2"/>
  <c r="P244" i="2"/>
  <c r="P247" i="2"/>
  <c r="P248" i="2"/>
  <c r="P250" i="2"/>
  <c r="P251" i="2"/>
  <c r="P252" i="2"/>
  <c r="P253" i="2"/>
  <c r="P254" i="2"/>
  <c r="P255" i="2"/>
  <c r="P257" i="2"/>
  <c r="P258" i="2"/>
  <c r="P259" i="2"/>
  <c r="P260" i="2"/>
  <c r="P256" i="2"/>
  <c r="P261" i="2"/>
  <c r="P262" i="2"/>
  <c r="P263" i="2"/>
  <c r="P264" i="2"/>
  <c r="P265" i="2"/>
  <c r="P266" i="2"/>
  <c r="P267" i="2"/>
  <c r="P268" i="2"/>
  <c r="P269" i="2"/>
  <c r="P270" i="2"/>
  <c r="P271" i="2"/>
  <c r="P272" i="2"/>
  <c r="P273" i="2"/>
  <c r="P274" i="2"/>
  <c r="P275" i="2"/>
  <c r="P276" i="2"/>
  <c r="P277" i="2"/>
  <c r="P280" i="2"/>
  <c r="P281" i="2"/>
  <c r="P282" i="2"/>
  <c r="P283" i="2"/>
  <c r="P284" i="2"/>
  <c r="P285" i="2"/>
  <c r="P286" i="2"/>
  <c r="P287" i="2"/>
  <c r="P288" i="2"/>
  <c r="P289" i="2"/>
  <c r="P290" i="2"/>
  <c r="P291" i="2"/>
  <c r="P293" i="2"/>
  <c r="P294" i="2"/>
  <c r="P295" i="2"/>
  <c r="P296" i="2"/>
  <c r="P297" i="2"/>
  <c r="P298" i="2"/>
  <c r="P299" i="2"/>
  <c r="P300" i="2"/>
  <c r="P302" i="2"/>
  <c r="P303" i="2"/>
  <c r="P304" i="2"/>
  <c r="P305" i="2"/>
  <c r="P306" i="2"/>
  <c r="P307" i="2"/>
  <c r="P310" i="2"/>
  <c r="P311" i="2"/>
  <c r="P312" i="2"/>
  <c r="P313" i="2"/>
  <c r="P314" i="2"/>
  <c r="P315" i="2"/>
  <c r="P316" i="2"/>
  <c r="P317" i="2"/>
  <c r="P318" i="2"/>
  <c r="P319" i="2"/>
  <c r="P320" i="2"/>
  <c r="P321" i="2"/>
  <c r="P322" i="2"/>
  <c r="P323" i="2"/>
  <c r="P324" i="2"/>
  <c r="P325" i="2"/>
  <c r="P326" i="2"/>
  <c r="P327" i="2"/>
  <c r="P328" i="2"/>
  <c r="P329" i="2"/>
  <c r="P330" i="2"/>
  <c r="P331" i="2"/>
  <c r="P332" i="2"/>
  <c r="P333" i="2"/>
  <c r="P336" i="2"/>
  <c r="P337" i="2"/>
  <c r="P338" i="2"/>
  <c r="P339" i="2"/>
  <c r="P340" i="2"/>
  <c r="P341" i="2"/>
  <c r="P342" i="2"/>
  <c r="P343" i="2"/>
  <c r="P346" i="2"/>
  <c r="P347" i="2"/>
  <c r="P348" i="2"/>
  <c r="P349" i="2"/>
  <c r="P350" i="2"/>
  <c r="P353" i="2"/>
  <c r="P354" i="2"/>
  <c r="P355" i="2"/>
  <c r="P356" i="2"/>
  <c r="P357" i="2"/>
  <c r="P363" i="2"/>
  <c r="P364" i="2"/>
  <c r="P365" i="2"/>
  <c r="P366" i="2"/>
  <c r="P367" i="2"/>
  <c r="P368" i="2"/>
  <c r="P369" i="2"/>
  <c r="P370" i="2"/>
  <c r="P402" i="2"/>
  <c r="P403" i="2"/>
  <c r="P359" i="2"/>
  <c r="P360" i="2"/>
  <c r="P361" i="2"/>
  <c r="P362" i="2"/>
  <c r="P278" i="2"/>
  <c r="P279" i="2"/>
  <c r="P301" i="2"/>
  <c r="P309" i="2"/>
  <c r="P351" i="2"/>
  <c r="P352" i="2"/>
  <c r="P371" i="2"/>
  <c r="P372" i="2"/>
  <c r="P373" i="2"/>
  <c r="P374" i="2"/>
  <c r="P375" i="2"/>
  <c r="P376" i="2"/>
  <c r="P377" i="2"/>
  <c r="P378" i="2"/>
  <c r="P379" i="2"/>
  <c r="P380" i="2"/>
  <c r="P381" i="2"/>
  <c r="P382" i="2"/>
  <c r="P383" i="2"/>
  <c r="P384" i="2"/>
  <c r="P385" i="2"/>
  <c r="P387" i="2"/>
  <c r="P388" i="2"/>
  <c r="P389" i="2"/>
  <c r="P390" i="2"/>
  <c r="P391" i="2"/>
  <c r="P392" i="2"/>
  <c r="P393" i="2"/>
  <c r="P394" i="2"/>
  <c r="P401" i="2"/>
  <c r="P396" i="2"/>
  <c r="P397" i="2"/>
  <c r="P398" i="2"/>
  <c r="P399" i="2"/>
  <c r="P400" i="2"/>
  <c r="P404" i="2"/>
  <c r="P405" i="2"/>
  <c r="P406" i="2"/>
  <c r="P407" i="2"/>
  <c r="P408" i="2"/>
  <c r="P409" i="2"/>
  <c r="P410" i="2"/>
  <c r="P411"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395" i="2"/>
  <c r="P386" i="2"/>
  <c r="B3" i="5" l="1"/>
  <c r="B4"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tc={39E1D8B4-8811-4E99-A2AC-BDF1874C813C}</author>
    <author>tc={7306BB06-D5D8-481A-AF6C-EE78B30F3765}</author>
    <author>tc={FDDDF054-15E8-4ADC-BC4C-46CECD3C8488}</author>
    <author>tc={DD47EF5D-3240-4E43-888A-F90C9557E327}</author>
    <author>tc={2E452D30-860F-4E27-952F-381B2B625631}</author>
    <author>tc={A0AB018D-993D-401C-AE51-C8479213C142}</author>
    <author>tc={9202181A-61DD-4F9B-82D6-FCF174481F22}</author>
    <author>tc={29715583-CFC4-44E3-9512-4B67F5517605}</author>
    <author>tc={5FD7F04C-A65E-4FA6-81E2-61C0CD4082E8}</author>
    <author>tc={CC19B807-D246-488D-AA98-9DDCE94FFB20}</author>
    <author>tc={088BC2AF-A6A8-4A4A-8821-E255C0B7821F}</author>
    <author>tc={0DFB8544-393D-46C0-ADC1-35C8753781E9}</author>
    <author>tc={D852F0CE-E528-4E64-BDD6-EEAC8F4723D5}</author>
    <author>tc={BD4D0D13-3576-48D2-94AF-6BC293EF0A4A}</author>
    <author>tc={7F424282-7A83-4B6F-BC44-5881810C6A0C}</author>
    <author>tc={61B5EE81-D302-4679-9834-D75D924802D0}</author>
    <author>tc={BEBF4ACC-7C62-4AD6-A7C7-5F6086B32D5E}</author>
    <author>tc={9B7C00AD-EC12-4418-8F44-C9FA823D9FC6}</author>
    <author xml:space="preserve">Ramirez Varon Alejandro </author>
    <author>tc={789F43FD-39E3-4D35-92FA-9A82EF8FAF12}</author>
  </authors>
  <commentList>
    <comment ref="M255" authorId="0" shapeId="0" xr:uid="{39E1D8B4-8811-4E99-A2AC-BDF1874C813C}">
      <text>
        <t>[Threaded comment]
Your version of Excel allows you to read this threaded comment; however, any edits to it will get removed if the file is opened in a newer version of Excel. Learn more: https://go.microsoft.com/fwlink/?linkid=870924
Comment:
    Correo enviado desde servicios juridicos</t>
      </text>
    </comment>
    <comment ref="E261" authorId="1" shapeId="0" xr:uid="{7306BB06-D5D8-481A-AF6C-EE78B30F3765}">
      <text>
        <t>[Threaded comment]
Your version of Excel allows you to read this threaded comment; however, any edits to it will get removed if the file is opened in a newer version of Excel. Learn more: https://go.microsoft.com/fwlink/?linkid=870924
Comment:
    Se envia 2do mensaje de seguimiento a 1 dia de vencer, 10/07/2023</t>
      </text>
    </comment>
    <comment ref="D262" authorId="2" shapeId="0" xr:uid="{FDDDF054-15E8-4ADC-BC4C-46CECD3C8488}">
      <text>
        <t>[Threaded comment]
Your version of Excel allows you to read this threaded comment; however, any edits to it will get removed if the file is opened in a newer version of Excel. Learn more: https://go.microsoft.com/fwlink/?linkid=870924
Comment:
    Profesional de regulacion envia correo adjuntando comprobante de pago de concursos economicos, PTE relacionar</t>
      </text>
    </comment>
    <comment ref="E262" authorId="3" shapeId="0" xr:uid="{DD47EF5D-3240-4E43-888A-F90C9557E327}">
      <text>
        <t>[Threaded comment]
Your version of Excel allows you to read this threaded comment; however, any edits to it will get removed if the file is opened in a newer version of Excel. Learn more: https://go.microsoft.com/fwlink/?linkid=870924
Comment:
    Profesional de regulacion envia correo adjuntando comprobante de pago de concursos economicos, PTE relacionar</t>
      </text>
    </comment>
    <comment ref="H262" authorId="4" shapeId="0" xr:uid="{2E452D30-860F-4E27-952F-381B2B625631}">
      <text>
        <t>[Threaded comment]
Your version of Excel allows you to read this threaded comment; however, any edits to it will get removed if the file is opened in a newer version of Excel. Learn more: https://go.microsoft.com/fwlink/?linkid=870924
Comment:
    "Confirmamos el recibo de la comunicación y procedemos con la gestión para compartir el soporte de pago de la primera cuota del concurso económico de estratificación de Tunja"
reportesregulacion@grupovanti.com 28/06/</t>
      </text>
    </comment>
    <comment ref="D270" authorId="5" shapeId="0" xr:uid="{A0AB018D-993D-401C-AE51-C8479213C142}">
      <text>
        <t>[Threaded comment]
Your version of Excel allows you to read this threaded comment; however, any edits to it will get removed if the file is opened in a newer version of Excel. Learn more: https://go.microsoft.com/fwlink/?linkid=870924
Comment:
    Gestionado desde el correo de JULI, ya se notifico a GIO y partes interesadas. (No RTA No Recepcion de nada, Solicitud de acceso a expediente)</t>
      </text>
    </comment>
    <comment ref="E270" authorId="6" shapeId="0" xr:uid="{9202181A-61DD-4F9B-82D6-FCF174481F22}">
      <text>
        <t>[Threaded comment]
Your version of Excel allows you to read this threaded comment; however, any edits to it will get removed if the file is opened in a newer version of Excel. Learn more: https://go.microsoft.com/fwlink/?linkid=870924
Comment:
    Gestionado desde el correo de JULI, ya se notifico a GIO y partes interesadas. (No RTA No Recepcion de nada, Solicitud de acceso a expediente)</t>
      </text>
    </comment>
    <comment ref="D272" authorId="7" shapeId="0" xr:uid="{29715583-CFC4-44E3-9512-4B67F5517605}">
      <text>
        <t>[Threaded comment]
Your version of Excel allows you to read this threaded comment; however, any edits to it will get removed if the file is opened in a newer version of Excel. Learn more: https://go.microsoft.com/fwlink/?linkid=870924
Comment:
    Se gestiona desde servicios juridicos</t>
      </text>
    </comment>
    <comment ref="E272" authorId="8" shapeId="0" xr:uid="{5FD7F04C-A65E-4FA6-81E2-61C0CD4082E8}">
      <text>
        <t>[Threaded comment]
Your version of Excel allows you to read this threaded comment; however, any edits to it will get removed if the file is opened in a newer version of Excel. Learn more: https://go.microsoft.com/fwlink/?linkid=870924
Comment:
    Se gestiona desde servicios juridicos</t>
      </text>
    </comment>
    <comment ref="F276" authorId="9" shapeId="0" xr:uid="{CC19B807-D246-488D-AA98-9DDCE94FFB20}">
      <text>
        <t>[Threaded comment]
Your version of Excel allows you to read this threaded comment; however, any edits to it will get removed if the file is opened in a newer version of Excel. Learn more: https://go.microsoft.com/fwlink/?linkid=870924
Comment:
    Sin correos de respeusta.</t>
      </text>
    </comment>
    <comment ref="D277" authorId="10" shapeId="0" xr:uid="{088BC2AF-A6A8-4A4A-8821-E255C0B7821F}">
      <text>
        <t>[Threaded comment]
Your version of Excel allows you to read this threaded comment; however, any edits to it will get removed if the file is opened in a newer version of Excel. Learn more: https://go.microsoft.com/fwlink/?linkid=870924
Comment:
    Todo lo relacionado con protección al usuario son temas de PQRS, remitirlo a Ma Pilar Rubio, Melquicedec y servicio al cliente
Reply:
    Revisar el redireccionamiento</t>
      </text>
    </comment>
    <comment ref="E277" authorId="11" shapeId="0" xr:uid="{0DFB8544-393D-46C0-ADC1-35C8753781E9}">
      <text>
        <t>[Threaded comment]
Your version of Excel allows you to read this threaded comment; however, any edits to it will get removed if the file is opened in a newer version of Excel. Learn more: https://go.microsoft.com/fwlink/?linkid=870924
Comment:
    Todo lo relacionado con protección al usuario son temas de PQRS, remitirlo a Ma Pilar Rubio, Melquicedec y servicio al cliente
Reply:
    Revisar el redireccionamiento</t>
      </text>
    </comment>
    <comment ref="E281" authorId="12" shapeId="0" xr:uid="{D852F0CE-E528-4E64-BDD6-EEAC8F4723D5}">
      <text>
        <t>[Threaded comment]
Your version of Excel allows you to read this threaded comment; however, any edits to it will get removed if the file is opened in a newer version of Excel. Learn more: https://go.microsoft.com/fwlink/?linkid=870924
Comment:
    Esta rta habilita carpeta compartida para cargar la informacion requerida. Pendiente pedir contexto
Reply:
    Se modifica la fecha de seguimiento y se debe revisar el proceso que debe seguir para registrar la respuesta a la solicitud hecha</t>
      </text>
    </comment>
    <comment ref="D283" authorId="13" shapeId="0" xr:uid="{BD4D0D13-3576-48D2-94AF-6BC293EF0A4A}">
      <text>
        <t>[Threaded comment]
Your version of Excel allows you to read this threaded comment; however, any edits to it will get removed if the file is opened in a newer version of Excel. Learn more: https://go.microsoft.com/fwlink/?linkid=870924
Comment:
    Tiene diligencia, y apoyo desde el Area para proyectar la respuesta, pendiente revision RTA</t>
      </text>
    </comment>
    <comment ref="D284" authorId="14" shapeId="0" xr:uid="{7F424282-7A83-4B6F-BC44-5881810C6A0C}">
      <text>
        <t>[Threaded comment]
Your version of Excel allows you to read this threaded comment; however, any edits to it will get removed if the file is opened in a newer version of Excel. Learn more: https://go.microsoft.com/fwlink/?linkid=870924
Comment:
    Se envia a Maria del Pilar y Francisco correa, "Faturación"</t>
      </text>
    </comment>
    <comment ref="D285" authorId="15" shapeId="0" xr:uid="{61B5EE81-D302-4679-9834-D75D924802D0}">
      <text>
        <t>[Threaded comment]
Your version of Excel allows you to read this threaded comment; however, any edits to it will get removed if the file is opened in a newer version of Excel. Learn more: https://go.microsoft.com/fwlink/?linkid=870924
Comment:
    Se extiende el tiempo de respuesta mediante  solicitud de ampliacion de plazo</t>
      </text>
    </comment>
    <comment ref="D286" authorId="16" shapeId="0" xr:uid="{BEBF4ACC-7C62-4AD6-A7C7-5F6086B32D5E}">
      <text>
        <t>[Threaded comment]
Your version of Excel allows you to read this threaded comment; however, any edits to it will get removed if the file is opened in a newer version of Excel. Learn more: https://go.microsoft.com/fwlink/?linkid=870924
Comment:
    Se extiende el tiempo de respuesta mediante  solicitud de ampliacion de plazo</t>
      </text>
    </comment>
    <comment ref="G301" authorId="17" shapeId="0" xr:uid="{9B7C00AD-EC12-4418-8F44-C9FA823D9FC6}">
      <text>
        <t>[Threaded comment]
Your version of Excel allows you to read this threaded comment; however, any edits to it will get removed if the file is opened in a newer version of Excel. Learn more: https://go.microsoft.com/fwlink/?linkid=870924
Comment:
    Pte localizar Radicado Finalizado en 4221</t>
      </text>
    </comment>
    <comment ref="M302" authorId="18" shapeId="0" xr:uid="{08FBCABB-D72D-41B0-936A-1AD7B6032F3E}">
      <text>
        <r>
          <rPr>
            <b/>
            <sz val="9"/>
            <color indexed="81"/>
            <rFont val="Tahoma"/>
            <family val="2"/>
          </rPr>
          <t>Ramirez Varon Alejandro :</t>
        </r>
        <r>
          <rPr>
            <sz val="9"/>
            <color indexed="81"/>
            <rFont val="Tahoma"/>
            <family val="2"/>
          </rPr>
          <t xml:space="preserve">
Sticker de recibido por vanti, parte superior derecha del documento</t>
        </r>
      </text>
    </comment>
    <comment ref="M305" authorId="18" shapeId="0" xr:uid="{4E2D4A31-211A-4717-9747-A08388D918C0}">
      <text>
        <r>
          <rPr>
            <b/>
            <sz val="9"/>
            <color indexed="81"/>
            <rFont val="Tahoma"/>
            <family val="2"/>
          </rPr>
          <t>Ramirez Varon Alejandro :</t>
        </r>
        <r>
          <rPr>
            <sz val="9"/>
            <color indexed="81"/>
            <rFont val="Tahoma"/>
            <family val="2"/>
          </rPr>
          <t xml:space="preserve">
Correo con asunto; MINENERGIA: Registro radicado 2-2023-009960</t>
        </r>
      </text>
    </comment>
    <comment ref="G351" authorId="19" shapeId="0" xr:uid="{789F43FD-39E3-4D35-92FA-9A82EF8FAF12}">
      <text>
        <t>[Threaded comment]
Your version of Excel allows you to read this threaded comment; however, any edits to it will get removed if the file is opened in a newer version of Excel. Learn more: https://go.microsoft.com/fwlink/?linkid=870924
Comment:
    Pte Localizar Radicado Finalizado en  8893</t>
      </text>
    </comment>
  </commentList>
</comments>
</file>

<file path=xl/sharedStrings.xml><?xml version="1.0" encoding="utf-8"?>
<sst xmlns="http://schemas.openxmlformats.org/spreadsheetml/2006/main" count="3742" uniqueCount="1400">
  <si>
    <t>MATRIZ REQUERIMIENTOS Y CONTROL</t>
  </si>
  <si>
    <t>Filial</t>
  </si>
  <si>
    <t>Tipología</t>
  </si>
  <si>
    <t>GN-VANTI</t>
  </si>
  <si>
    <t>Requerimientos generales</t>
  </si>
  <si>
    <t>Asunto:</t>
  </si>
  <si>
    <t>Reporte de información Investigaciones por Desviaciones Significativas y Usuarios con Consumos Estacionales</t>
  </si>
  <si>
    <t xml:space="preserve"> </t>
  </si>
  <si>
    <t>GNCB</t>
  </si>
  <si>
    <t>Solicitudes</t>
  </si>
  <si>
    <t>Fecha de Recibido:</t>
  </si>
  <si>
    <t>GOR</t>
  </si>
  <si>
    <t>Respuestas</t>
  </si>
  <si>
    <t xml:space="preserve">Tipologia </t>
  </si>
  <si>
    <t>GNCR</t>
  </si>
  <si>
    <t xml:space="preserve">Comentarios Resolución </t>
  </si>
  <si>
    <t>Entidad:</t>
  </si>
  <si>
    <t>SSPD</t>
  </si>
  <si>
    <t xml:space="preserve">Reportes </t>
  </si>
  <si>
    <t>Vinculacion a expedientes tarifarios</t>
  </si>
  <si>
    <t>ENTIDAD</t>
  </si>
  <si>
    <t>Revision Reversiones</t>
  </si>
  <si>
    <t>Fecha MAX de Respuesta:</t>
  </si>
  <si>
    <t xml:space="preserve">Certificados </t>
  </si>
  <si>
    <t>VANTI ESP SA</t>
  </si>
  <si>
    <t xml:space="preserve">Derechos de petición </t>
  </si>
  <si>
    <t>ALCALDIAS</t>
  </si>
  <si>
    <t>Asignacion Subsidios</t>
  </si>
  <si>
    <t>Fecha de Respuesta:</t>
  </si>
  <si>
    <t>Resumen:</t>
  </si>
  <si>
    <t>MME</t>
  </si>
  <si>
    <t>Concurso económico</t>
  </si>
  <si>
    <t>CREG</t>
  </si>
  <si>
    <t xml:space="preserve">Información estadistica </t>
  </si>
  <si>
    <t>Hipervinculo:</t>
  </si>
  <si>
    <t>https://grupovanti.sharepoint.com/:f:/r/sites/GerenciadeRegulacin/Shared%20Documents/General/2023/Regulaci%C3%B3n%202024/183_10_2024%20Reporte%20de%20informaci%C3%B3n%20Investigaciones%20por%20Desviaciones%20Significativas%20y%20Usuarios%20con%20Consumos%20Estacionales?csf=1&amp;web=1&amp;e=JzSvw1</t>
  </si>
  <si>
    <t>DANE</t>
  </si>
  <si>
    <t>UPME</t>
  </si>
  <si>
    <t>Hipervinculo de Respuesta:</t>
  </si>
  <si>
    <t>SECRETARIA DEL HABITAD</t>
  </si>
  <si>
    <t>AEGR</t>
  </si>
  <si>
    <t>OTROS</t>
  </si>
  <si>
    <t>Adjuntos</t>
  </si>
  <si>
    <t>Fecha de Recibido</t>
  </si>
  <si>
    <t xml:space="preserve">Entidad </t>
  </si>
  <si>
    <t>Asunto</t>
  </si>
  <si>
    <t>Fecha MAX de Resp</t>
  </si>
  <si>
    <t>Fecha de Resp</t>
  </si>
  <si>
    <t xml:space="preserve">Resumen </t>
  </si>
  <si>
    <t xml:space="preserve">Hipervinculo </t>
  </si>
  <si>
    <t xml:space="preserve">Hipervinculo Respuesta </t>
  </si>
  <si>
    <t>ADJUNTOS</t>
  </si>
  <si>
    <t>FILIAL</t>
  </si>
  <si>
    <t>ESTADO</t>
  </si>
  <si>
    <t>Fecha de Radicado</t>
  </si>
  <si>
    <t xml:space="preserve">No. Radicado </t>
  </si>
  <si>
    <t>Fecha MAX de Resp_1</t>
  </si>
  <si>
    <t>Fecha de Respuesta</t>
  </si>
  <si>
    <t>Fecha</t>
  </si>
  <si>
    <t>Norma Genera Cambio en el proceso?</t>
  </si>
  <si>
    <t>SI</t>
  </si>
  <si>
    <t>Asunto: Solicitud Devolución pago Concurso Económico</t>
  </si>
  <si>
    <t>https://grupovanti.sharepoint.com/:f:/r/sites/GerenciadeRegulacin/Shared%20Documents/General/2023/Regulaci%C3%B3n%202024/171_09_%202024%20Asunto%20Solicitud%20Devoluci%C3%B3n%20pago%20Concurso%20Econ%C3%B3mico?csf=1&amp;web=1&amp;e=GHVHXm</t>
  </si>
  <si>
    <t>NO</t>
  </si>
  <si>
    <t>Rechazo concurso economico La Mesa - Vigencia 2024</t>
  </si>
  <si>
    <t>https://grupovanti.sharepoint.com/:f:/r/sites/GerenciadeRegulacin/Shared%20Documents/General/2023/Regulaci%C3%B3n%202024/170_09_2024%20Rechazo%20concurso%20economico%20La%20Mesa%20-%20Vigencia%202024?csf=1&amp;web=1&amp;e=8PpEyK</t>
  </si>
  <si>
    <t>Solicitud de reversión voluntaria del formato SUI Reporte GRCS3 (Información de Presión en Líneas Individuales y Nivel de Odorización) periodos 08 - 2024. Vanti</t>
  </si>
  <si>
    <t>https://grupovanti.sharepoint.com/:f:/r/sites/GerenciadeRegulacin/Shared%20Documents/General/2023/Regulaci%C3%B3n%202024/169_09_2024%20Solicitud%20de%20reversi%C3%B3n%20voluntaria%20del%20formato%20SUI%20Reporte%20GRCS3%20(Informaci%C3%B3n%20de%20Presi%C3%B3n%20en%20L%C3%ADneas%20Individuales%20y%20Nivel%20de%20Odorizaci%C3%B3n)%20periodos%2008%20-%202024.%20Vanti?csf=1&amp;web=1&amp;e=laCK5w</t>
  </si>
  <si>
    <t>Respuesta Circular 060 de 2024. Reporte de gastos AOM para la vigencia 2023. Vanti</t>
  </si>
  <si>
    <t>https://grupovanti.sharepoint.com/:f:/r/sites/GerenciadeRegulacin/Shared%20Documents/General/2023/Regulaci%C3%B3n%202024/168_09_2024%20Respuesta%20Circular%20060%20de%202024.%20Reporte%20de%20gastos%20AOM%20para%20la%20vigencia%202023.%20VANTI?csf=1&amp;web=1&amp;e=I7bPPq</t>
  </si>
  <si>
    <t>Respuesta Circular 060 de 2024. Reporte de gastos AOM para la vigencia 2023. GOR</t>
  </si>
  <si>
    <t>https://grupovanti.sharepoint.com/:f:/r/sites/GerenciadeRegulacin/Shared%20Documents/General/2023/Regulaci%C3%B3n%202024/167_09_2024%20Respuesta%20Circular%20060%20de%202024.%20Reporte%20de%20gastos%20AOM%20para%20la%20vigencia%202023.%20GOR?csf=1&amp;web=1&amp;e=Lau3ox</t>
  </si>
  <si>
    <t>Respuesta Circular 060 de 2024. Reporte de gastos AOM para la vigencia 2023. GNCR</t>
  </si>
  <si>
    <t>https://grupovanti.sharepoint.com/:f:/r/sites/GerenciadeRegulacin/Shared%20Documents/General/2023/Regulaci%C3%B3n%202024/166_09_2024%20Respuesta%20Circular%20060%20de%202024.%20Reporte%20de%20gastos%20AOM%20para%20la%20vigencia%202023.%20GNCR?csf=1&amp;web=1&amp;e=XbGkcH</t>
  </si>
  <si>
    <t>Respuesta Circular 060 de 2024. Reporte de gastos AOM para la vigencia 2023. CUNDI</t>
  </si>
  <si>
    <t>https://grupovanti.sharepoint.com/:f:/r/sites/GerenciadeRegulacin/Shared%20Documents/General/2023/Regulaci%C3%B3n%202024/165_09_2024%20Respuesta%20Circular%20060%20de%202024.%20Reporte%20de%20gastos%20AOM%20para%20la%20vigencia%202023.%20CUNDI?csf=1&amp;web=1&amp;e=OqjGAg</t>
  </si>
  <si>
    <t>Solicitud de reversión Taxonomía XBRL 2023 - Cundi</t>
  </si>
  <si>
    <t>https://grupovanti.sharepoint.com/:f:/r/sites/GerenciadeRegulacin/Shared%20Documents/General/2023/Regulaci%C3%B3n%202024/164_09_2024%20Solicitud%20de%20reversi%C3%B3n%20Taxonom%C3%ADa%20XBRL%202023%20-%20Cundi?csf=1&amp;web=1&amp;e=3MK5Vl</t>
  </si>
  <si>
    <t>Verificación tarifaria Jul24 Vanti_ envío septiembre 2024</t>
  </si>
  <si>
    <t>https://grupovanti.sharepoint.com/:f:/r/sites/GerenciadeRegulacin/Shared%20Documents/General/2023/Regulaci%C3%B3n%202024/163_09_2024%20Verificaci%C3%B3n%20tarifaria%20Jul24%20Vanti_%20env%C3%ADo%20septiembre%202024?csf=1&amp;web=1&amp;e=XOQSFt</t>
  </si>
  <si>
    <t>Solicitud de reversión voluntaria del formato SUI Reporte GRCS3 05 Y 06 - 2024</t>
  </si>
  <si>
    <t>https://grupovanti.sharepoint.com/:f:/r/sites/GerenciadeRegulacin/Shared%20Documents/General/2023/Regulaci%C3%B3n%202024/162_08_2024%20Solicitud%20de%20reversi%C3%B3n%20voluntaria%20del%20formato%20SUI%20Reporte%20GRCS3%2005%20Y%2006%20-%202024?csf=1&amp;web=1&amp;e=J1G2OL</t>
  </si>
  <si>
    <t>Respuesta Radicado SSPD No. 20245293353962- Solicitud de reversión solicitada por la Superintendencia de Servicios Publicos Domiciliarios en el radicado 20242301412171 de calidad de información de la Taxonomía XBRL 2022</t>
  </si>
  <si>
    <t>https://grupovanti.sharepoint.com/:f:/r/sites/GerenciadeRegulacin/Shared%20Documents/General/2023/Regulaci%C3%B3n%202024/161_08_2024%20Activaci%C3%B3n%20usuarios%20SICOM?csf=1&amp;web=1&amp;e=zHMm1Y</t>
  </si>
  <si>
    <t>Activación usuarios SICOM</t>
  </si>
  <si>
    <t>https://grupovanti.sharepoint.com/:f:/r/sites/GerenciadeRegulacin/Shared%20Documents/General/2023/Regulaci%C3%B3n%202024/160_08_2024%20Activaci%C3%B3n%20usuarios%20SICOM?csf=1&amp;web=1&amp;e=zHMm1Y</t>
  </si>
  <si>
    <t>REQ 20242312984171 - Respuesta Personeria Lebrija (Santander)</t>
  </si>
  <si>
    <t>https://grupovanti.sharepoint.com/:f:/r/sites/GerenciadeRegulacin/Shared%20Documents/General/2023/Regulaci%C3%B3n%202024/159_08_2024%20REQ%2020242312984171%20-%20Respuesta%20Personeria%20Lebrija%20(Santander)?csf=1&amp;web=1&amp;e=TMrV0U</t>
  </si>
  <si>
    <t xml:space="preserve">Concepto SSPD - aplicación del factor de corrección </t>
  </si>
  <si>
    <t>https://grupovanti.sharepoint.com/:f:/r/sites/GerenciadeRegulacin/Shared%20Documents/General/2023/Regulaci%C3%B3n%202024/158_07_2024%20Concepto%20SSPD%20-%20aplicaci%C3%B3n%20del%20factor%20de%20correcci%C3%B3n?csf=1&amp;web=1&amp;e=AEnD9M</t>
  </si>
  <si>
    <t>GOR - Asunto: Requerimiento de información – Resoluciones CREG de aprobación de cargos de comercialización y distribución del servicio de gas por redes de Tubería</t>
  </si>
  <si>
    <t>https://grupovanti.sharepoint.com/:f:/r/sites/GerenciadeRegulacin/Shared%20Documents/General/2023/Regulaci%C3%B3n%202024/157_07_2024%20Asunto%20Requerimiento%20de%20informaci%C3%B3n%20%E2%80%93%20Resoluciones%20CREG%20de%20aprobaci%C3%B3n%20de%20cargos%20de%20comercializaci%C3%B3n%20y%20distribuci%C3%B3n%20del%20servicio%20de%20gas%20por%20redes%20de%20Tuberia%20GOR?csf=1&amp;web=1&amp;e=yZSBe5</t>
  </si>
  <si>
    <t>GNCR - Asunto: Requerimiento de información – Resoluciones CREG de aprobación de cargos de comercialización y distribución del servicio de gas por redes de Tubería</t>
  </si>
  <si>
    <t>https://grupovanti.sharepoint.com/:f:/r/sites/GerenciadeRegulacin/Shared%20Documents/General/2023/Regulaci%C3%B3n%202024/156_07_2024%20Asunto%20Requerimiento%20de%20informaci%C3%B3n%20%E2%80%93%20Resoluciones%20CREG%20de%20aprobaci%C3%B3n%20de%20cargos%20de%20comercializaci%C3%B3n%20y%20distribuci%C3%B3n%20del%20servicio%20de%20gas%20por%20redes%20de%20Tuberia%20GNCR?csf=1&amp;web=1&amp;e=pAnQui</t>
  </si>
  <si>
    <t>Cundi - Asunto: Requerimiento de información – Resoluciones CREG de aprobación de cargos de comercialización y distribución del servicio de gas por redes de Tubería</t>
  </si>
  <si>
    <t>https://grupovanti.sharepoint.com/:f:/r/sites/GerenciadeRegulacin/Shared%20Documents/General/2023/Regulaci%C3%B3n%202024/155_07_2024%20Asunto%20Requerimiento%20de%20informaci%C3%B3n%20%E2%80%93%20Resoluciones%20CREG%20de%20aprobaci%C3%B3n%20de%20cargos%20de%20comercializaci%C3%B3n%20y%20distribuci%C3%B3n%20del%20servicio%20de%20gas%20por%20redes%20de%20Tuberia%20Cundi?csf=1&amp;web=1&amp;e=0KChdF</t>
  </si>
  <si>
    <t>Vanti - Asunto: Requerimiento de información – Resoluciones CREG de aprobación de cargos de comercialización y distribución del servicio de gas por redes de Tubería</t>
  </si>
  <si>
    <t>https://grupovanti.sharepoint.com/:f:/r/sites/GerenciadeRegulacin/Shared%20Documents/General/2023/Regulaci%C3%B3n%202024/154_07_2024%20Asunto%20Requerimiento%20de%20informaci%C3%B3n%20%E2%80%93%20Resoluciones%20CREG%20de%20aprobaci%C3%B3n%20de%20cargos%20de%20comercializaci%C3%B3n%20y%20distribuci%C3%B3n%20del%20servicio%20de%20gas%20por%20redes%20de%20Tuberia%20Vanti?csf=1&amp;web=1&amp;e=lWpUfW</t>
  </si>
  <si>
    <t>Asunto: Requerimiento - Radicado 20245292690792 Personería de Lebrija (Santander).</t>
  </si>
  <si>
    <t>https://grupovanti.sharepoint.com/:f:/r/sites/GerenciadeRegulacin/Shared%20Documents/General/2023/Regulaci%C3%B3n%202024/153_08_2024_Asunto-Requerimiento%20Radicado%2020245292690792%20Personer%C3%ADa%20de%20Lebrija%20(Santander)?csf=1&amp;web=1&amp;e=rcbFuE</t>
  </si>
  <si>
    <t>Verificación tarifaria Jun24 Vanti_ envío agosto 2024</t>
  </si>
  <si>
    <t>https://grupovanti.sharepoint.com/:f:/r/sites/GerenciadeRegulacin/Shared%20Documents/General/2023/Regulaci%C3%B3n%202024/152_07_2024%20Verificaci%C3%B3n%20tarifaria%20Jun24%20Vanti_%20env%C3%ADo%20agosto%202024?csf=1&amp;web=1&amp;e=adwSl7</t>
  </si>
  <si>
    <t>Solicitud Rerversión GRCS1 Cundi Marzo 2023</t>
  </si>
  <si>
    <t>https://grupovanti.sharepoint.com/:f:/r/sites/GerenciadeRegulacin/Shared%20Documents/General/2023/Regulaci%C3%B3n%202024/151_08_2024%20Solicitud%20Rerversi%C3%B3n%20GRCS1%20Cundi%20Marzo%202023?csf=1&amp;web=1&amp;e=uuBV9G</t>
  </si>
  <si>
    <t>Solicitud Rerversión GRCS1 Vanti Enero, Marzo, Abril, Mayo y Julio 2023</t>
  </si>
  <si>
    <t>https://grupovanti.sharepoint.com/:f:/r/sites/GerenciadeRegulacin/Shared%20Documents/General/2023/Regulaci%C3%B3n%202024/150_08_2024%20Solicitud%20Rerversi%C3%B3n%20GRCS1%20Vanti%20Enero,%20Marzo,%20Abril,%20Mayo%20y%20Julio%202023?csf=1&amp;web=1&amp;e=ZEKfrn</t>
  </si>
  <si>
    <t>Solicitud de reversión  información de la Taxonomía XBRL 2022.</t>
  </si>
  <si>
    <t>https://grupovanti.sharepoint.com/:f:/r/sites/GerenciadeRegulacin/Shared%20Documents/General/2023/Regulaci%C3%B3n%202024/149_07_2024%20Solicitud%20de%20reversi%C3%B3n%20%20informaci%C3%B3n%20de%20la%20Taxonom%C3%ADa%20XBRL%202022?csf=1&amp;web=1&amp;e=qRy6HB</t>
  </si>
  <si>
    <t>Re Rad 20242312484561- Calidad Información vanti</t>
  </si>
  <si>
    <t>https://grupovanti.sharepoint.com/:f:/r/sites/GerenciadeRegulacin/Shared%20Documents/General/2023/Regulaci%C3%B3n%202024/147_07_2024%20Re%20Rad%2020242312484561-%20Calidad%20Informaci%C3%B3n%20vanti?csf=1&amp;web=1&amp;e=wq977m</t>
  </si>
  <si>
    <t>Re Rad 20242312484551- Calidad Información GNCB</t>
  </si>
  <si>
    <t>https://grupovanti.sharepoint.com/:f:/r/sites/GerenciadeRegulacin/Shared%20Documents/General/2023/Regulaci%C3%B3n%202024/146_07_2024%20Re%20Rad%2020242312484551-%20Calidad%20Informaci%C3%B3n%20GNCB?csf=1&amp;web=1&amp;e=16i7Ok</t>
  </si>
  <si>
    <t>Comentarios al proyecto de Resolución 702 008 DE 2024 “Por la cual se ajusta y se modifica la Resolución 102 008 de 2022”</t>
  </si>
  <si>
    <t>https://grupovanti.sharepoint.com/:f:/r/sites/GerenciadeRegulacin/Shared%20Documents/General/2023/Regulaci%C3%B3n%202024/144_07_2024%20Comentarios%20al%20proyecto%20de%20Resoluci%C3%B3n%20702%20008%20DE%202024%20%E2%80%9CPor%20la%20cual%20se%20ajusta%20y%20se%20modifica%20la%20Resoluci%C3%B3n%20102%20008%20de%202022%E2%80%9D?csf=1&amp;web=1&amp;e=pmJtrw</t>
  </si>
  <si>
    <t>Alcance Carta Req Reversion GRC1 Dic 2023</t>
  </si>
  <si>
    <t>https://grupovanti.sharepoint.com/:f:/r/sites/GerenciadeRegulacin/Shared%20Documents/General/2023/Regulaci%C3%B3n%202024/143_07_2024%20Alcance%20Carta%20Req%20Reversion%20GRC1%20Dic%202023?csf=1&amp;web=1&amp;e=scfvdF</t>
  </si>
  <si>
    <t>Respuesta Radicado Suspención Gas Nacer (El Banco, El burro, Tamalameque, Pailitas)</t>
  </si>
  <si>
    <t>https://grupovanti.sharepoint.com/:f:/r/sites/GerenciadeRegulacin/Shared%20Documents/General/2023/Regulaci%C3%B3n%202024/142_07_2024%20Respuesta%20Radicado%20Suspenci%C3%B3n%20Gas%20Nacer%20(El%20Banco,%20El%20burro,%20Tamalameque,%20Pailitas)?csf=1&amp;web=1&amp;e=SIRgSI</t>
  </si>
  <si>
    <t>Re Rad 20242312484561- Calidad Información GOR</t>
  </si>
  <si>
    <t>https://grupovanti.sharepoint.com/:f:/r/sites/GerenciadeRegulacin/Shared%20Documents/General/2023/Regulaci%C3%B3n%202024/141_07_2024%20Re%20Rad%2020242312484561-%20Calidad%20Informaci%C3%B3n%20GOR?csf=1&amp;web=1&amp;e=2cYWu8</t>
  </si>
  <si>
    <t>Re Rad 20242312484551- Calidad Información GNCR</t>
  </si>
  <si>
    <t>https://grupovanti.sharepoint.com/:f:/r/sites/GerenciadeRegulacin/Shared%20Documents/General/2023/Regulaci%C3%B3n%202024/140_07_2024%20Re%20Rad%2020242312484551-%20Calidad%20Informaci%C3%B3n%20GNCR?csf=1&amp;web=1&amp;e=RcjbyM</t>
  </si>
  <si>
    <t>Respuesta a PQR - Solicitud de consignación valor excedente GNORIENTE S.A. E.S.P. al FSSRI - VALIDACIÓN 2-2022</t>
  </si>
  <si>
    <t>https://grupovanti.sharepoint.com/:f:/r/sites/GerenciadeRegulacin/Shared%20Documents/General/2023/Regulaci%C3%B3n%202024/139_07_2024%20Respuesta%20a%20PQR%20-%20Solicitud%20de%20consignaci%C3%B3n%20valor%20excedente%20GNORIENTE%20S.A.%20E.S.P.%20al%20FSSRI%20-%20VALIDACI%C3%93N%202-2022?csf=1&amp;web=1&amp;e=KAkzex</t>
  </si>
  <si>
    <t>Solicitud de informacion sobre el plan de expansion para la vereda</t>
  </si>
  <si>
    <t>https://grupovanti.sharepoint.com/:f:/r/sites/GerenciadeRegulacin/Shared%20Documents/General/2023/Regulaci%C3%B3n%202024/138_07_2024%20Solicitud%20de%20informacion%20sobre%20el%20plan%20de%20expansion%20para%20la%20vereda?csf=1&amp;web=1&amp;e=NjNNSs</t>
  </si>
  <si>
    <t>Solicitud Reversion GRT1 Nov-23 a Mar-24 GOR</t>
  </si>
  <si>
    <t>https://grupovanti.sharepoint.com/:f:/r/sites/GerenciadeRegulacin/Shared%20Documents/General/2023/Regulaci%C3%B3n%202024/137_07-2024%20Solicitud%20Reversion%20GRT1%20Feb%20a%20Mar%2024?csf=1&amp;web=1&amp;e=vc4l6i</t>
  </si>
  <si>
    <t>REPORTE TRIMESTRAL DE COBERTURAS GAS COMBUSTIBLE POR REDES TRIMESTRE II 2024 - GAS NATURAL CUNDIBOYACENSE</t>
  </si>
  <si>
    <t>https://grupovanti.sharepoint.com/:f:/r/sites/GerenciadeRegulacin/Shared%20Documents/General/2023/Regulaci%C3%B3n%202024/136_07_2024%20REPORTE%20TRIMESTRAL%20DE%20COBERTURAS%20GAS%20COMBUSTIBLE%20POR%20REDES%20TRIMESTRE%20II%202024%20-%20GNCB?csf=1&amp;web=1&amp;e=qQ8a9r</t>
  </si>
  <si>
    <t>REPORTE TRIMESTRAL DE COBERTURAS GAS COMBUSTIBLE POR REDES TRIMESTRE II 2024 - GAS NATURAL DEL ORIENTE</t>
  </si>
  <si>
    <t>https://grupovanti.sharepoint.com/:f:/r/sites/GerenciadeRegulacin/Shared%20Documents/General/2023/Regulaci%C3%B3n%202024/135_07_2024%20REPORTE%20TRIMESTRAL%20DE%20COBERTURAS%20GAS%20COMBUSTIBLE%20POR%20REDES%20TRIMESTRE%20II%202024%20-%20GOR?csf=1&amp;web=1&amp;e=GRVeQL</t>
  </si>
  <si>
    <t>REPORTE TRIMESTRAL DE COBERTURAS GAS COMBUSTIBLE POR REDES TRIMESTRE II 2024 - GAS NATURAL DEL CESAR</t>
  </si>
  <si>
    <t>https://grupovanti.sharepoint.com/:f:/r/sites/GerenciadeRegulacin/Shared%20Documents/General/2023/Regulaci%C3%B3n%202024/134_07_2024%20REPORTE%20TRIMESTRAL%20DE%20COBERTURAS%20GAS%20COMBUSTIBLE%20POR%20REDES%20TRIMESTRE%20II%202024%20-%20GNCR?csf=1&amp;web=1&amp;e=6WMWSM</t>
  </si>
  <si>
    <t>REPORTE TRIMESTRAL DE COBERTURAS GAS COMBUSTIBLE POR REDES TRIMESTRE II 2024 - VANTI</t>
  </si>
  <si>
    <t>https://grupovanti.sharepoint.com/:f:/r/sites/GerenciadeRegulacin/Shared%20Documents/General/2023/Regulaci%C3%B3n%202024/133_07_2024%20REPORTE%20TRIMESTRAL%20DE%20COBERTURAS%20GAS%20COMBUSTIBLE%20POR%20REDES%20TRIMESTRE%20II%202024%20-%20VANTI?csf=1&amp;web=1&amp;e=yzmQ7T</t>
  </si>
  <si>
    <t>Propuestas para atención de demanda esencial y no esencial de gas natural</t>
  </si>
  <si>
    <t>https://grupovanti.sharepoint.com/:f:/r/sites/GerenciadeRegulacin/Shared%20Documents/General/2023/Regulaci%C3%B3n%202024/132_07_2024%20Propuestas%20para%20atenci%C3%B3n%20de%20demanda%20esencial%20y%20no%20esencial%20de%20gas%20natural?csf=1&amp;web=1&amp;e=Je8M8o</t>
  </si>
  <si>
    <t>Carta SSPD Calidad de información SUI - GRT1 vs GRC1 Gasoriente</t>
  </si>
  <si>
    <t>https://grupovanti.sharepoint.com/:f:/r/sites/GerenciadeRegulacin/Shared%20Documents/General/2023/Regulaci%C3%B3n%202024/131_07_2024%20Respuesta%20SSPD%20GOR%20radicado%2020242302222491_Calidad%20de%20informaci%C3%B3n%20SUI%20GRT1?csf=1&amp;web=1&amp;e=SSEWan</t>
  </si>
  <si>
    <t>Formulario de satisfaccion SUI</t>
  </si>
  <si>
    <t>https://grupovanti.sharepoint.com/:f:/r/sites/GerenciadeRegulacin/Shared%20Documents/General/2023/Regulaci%C3%B3n%202024/130_07_2024%20Notificaci%C3%B3n%20falla%20de%20cargue%20del%20Formulario%20de%20Medici%C3%B3n%20del%20nivel%20de%20satisfacci%C3%B3n%20del%20Prestador?csf=1&amp;web=1&amp;e=wiK5EO</t>
  </si>
  <si>
    <t>Solicitud Reversion GRT1 Feb a Mar-24 Vanti</t>
  </si>
  <si>
    <t>https://grupovanti.sharepoint.com/:f:/r/sites/GerenciadeRegulacin/Shared%20Documents/General/2023/Regulaci%C3%B3n%202024/137_07-2024%20Solicitud%20Reversion%20GRT1%20Feb%20a%20Mar%2024?csf=1&amp;web=1&amp;e=TL0R9L</t>
  </si>
  <si>
    <t>Carta Re Calidad de información SUI - GRT1 vs GRC1 Vanti</t>
  </si>
  <si>
    <t>https://grupovanti.sharepoint.com/sites/GerenciadeRegulacin/Shared%20Documents/General/2023/Regulación%202024/127_07_2024_Verificación%20tarifaria%20Vanti</t>
  </si>
  <si>
    <t>Reversión_GRC2_GNCR_11_23</t>
  </si>
  <si>
    <t>https://grupovanti.sharepoint.com/sites/GerenciadeRegulacin/Shared%20Documents/General/2023/Regulación%202024/23_11_2023_Reversión_GRC2_GNCR_11_23/GRC2_GNCR_11_23_REVERSION.pdf</t>
  </si>
  <si>
    <t>Reversión_GRC2_GOR_11_23</t>
  </si>
  <si>
    <t>https://grupovanti.sharepoint.com/sites/GerenciadeRegulacin/Shared%20Documents/General/2023/Regulación%202024/22_11_2023_Reversión_GRC2_GOR_11_23/GRC2_GOR_11_23_REVERSION.pdf</t>
  </si>
  <si>
    <t>Reversión_GRC2_GNCB_11_23</t>
  </si>
  <si>
    <t>https://grupovanti.sharepoint.com/sites/GerenciadeRegulacin/Shared%20Documents/General/2023/Regulación%202024/21_11_2023_Reversión_GRC2_GNCB_11_23/GRC2_GNCB_11_23_REVERSION.pdf</t>
  </si>
  <si>
    <t>Reversión_GRC2_Vanti_11_23</t>
  </si>
  <si>
    <t>https://grupovanti.sharepoint.com/sites/GerenciadeRegulacin/Shared%20Documents/General/2023/Regulación%202024/20_11_2023_Reversión_GRC2_Vanti_11_23</t>
  </si>
  <si>
    <t>https://grupovanti.sharepoint.com/sites/GerenciadeRegulacin/Shared%20Documents/General/2023/Regulación%202024/114_07_2024%20Tarifas%20Barranca%20GOR%20Req%2020242312211981</t>
  </si>
  <si>
    <t>REMISIÓN DE RESPUESTA A COMENTARIOS DE PROPUESTA DE AGREGACIÓN DE TRAMOS</t>
  </si>
  <si>
    <t>https://grupovanti.sharepoint.com/sites/GerenciadeRegulacin/Shared%20Documents/General/2023/Regulación%202024/113_06_2024%20ASUNTO%20REMISIÓN%20DE%20RESPUESTA%20A%20COMENTARIOS%20DE%20PROPUESTA%20DE%20AGREGACIÓN%20DE%20TRAMOS</t>
  </si>
  <si>
    <t>Reversión_Vanti_B1_2022 y PQRS_10_22 y 11_22</t>
  </si>
  <si>
    <t>https://grupovanti.sharepoint.com/sites/GerenciadeRegulacin/Shared%20Documents/General/2023/Regulación%202024/112_06_2024%20Reversión_Vanti_B1_2022%20y%20PQRS_10_22%20y%2011_22</t>
  </si>
  <si>
    <t>Reversión voluntaria del formato SUI Reporte GRC4 (Servicios Adicionales) periodo 05-2024</t>
  </si>
  <si>
    <t>https://grupovanti.sharepoint.com/sites/GerenciadeRegulacin/Shared%20Documents/General/2023/Regulación%202024/111_06_2024%20reversión%20voluntaria%20del%20formato%20SUI%20Reporte%20GRC4%20(Servicios%20Adicionales)%20periodo%2005-2024</t>
  </si>
  <si>
    <t>Reversión_GRC1_Vanti_diciembre_2023</t>
  </si>
  <si>
    <t>https://grupovanti.sharepoint.com/sites/GerenciadeRegulacin/Shared%20Documents/General/2023/Regulación%202024/107_06_2024%20Reversión_GRC1_Vanti_diciembre_2023</t>
  </si>
  <si>
    <t>Tarifas Barranca GOR Req 20242312211981</t>
  </si>
  <si>
    <t>Respuesta al radicado SSPD No. 20245291698502 del 13 de junio del 2024. GRCS8 GOR 8M 2023 (20242032173211)</t>
  </si>
  <si>
    <t>https://grupovanti.sharepoint.com/sites/GerenciadeRegulacin/Shared%20Documents/General/2023/Regulación%202024/110_06_2024%20Respuesta%20al%20radicado%20SSPD%20No.%2020245291698502%20del%2013%20de%20junio%20del%202024.%20GRCS8%20GOR%208M%202023%20(20242032173211)</t>
  </si>
  <si>
    <t>Respuesta Radicado No 20242312113581 Petición por imposibilidad de descarga facturas</t>
  </si>
  <si>
    <t>https://grupovanti.sharepoint.com/sites/GerenciadeRegulacin/Shared%20Documents/General/2023/Regulación%202024/108_06_2024%20Respuesta%20Radicado%20No%2020242312113581%20Petición%20por%20imposibilidad%20de%20descarga%20facturas</t>
  </si>
  <si>
    <t>Ampliacionde plazo para respuesta de comentarios al estudio de agregacion de tramos</t>
  </si>
  <si>
    <t>https://grupovanti.sharepoint.com/sites/GerenciadeRegulacin/Shared%20Documents/General/2023/Regulación%202024/103_06_2024%20Ampliación%20de%20plazo%20para%20respuesta%20de%20comentarios%20al%20estudio%20de%20agregación%20de%20tramos</t>
  </si>
  <si>
    <t>Comentarios Proyecto de Resolución - Tarifa de la contribución especial para el año 2024</t>
  </si>
  <si>
    <t>https://grupovanti.sharepoint.com/sites/GerenciadeRegulacin/Shared%20Documents/General/2023/Regulación%202024/106_06_2024%20Para%20comentarios%20Proyecto%20de%20Resolución%20-%20Tarifa%20de%20la%20contribución%20especial%20para%20el%20año%202024</t>
  </si>
  <si>
    <t>Solicitud de aclaración de las diferencias evidenciadas por la Contraloría General de la República para las vigencias 2022 - 2023</t>
  </si>
  <si>
    <t>https://grupovanti.sharepoint.com/sites/GerenciadeRegulacin/Shared%20Documents/General/2023/Regulación%202024/105_06_2024%20Solicitud%20de%20aclaración%20de%20las%20diferencias%20evidenciadas%20por%20la%20Contraloría%20General%20de%20la%20República%20para%20las%20vigencias%202022%20-%202023</t>
  </si>
  <si>
    <t>Requerimiento - Memorando SSPD No. 20248400054993 del 26 de abril de 2024. (Rta sale correo de Servicio)</t>
  </si>
  <si>
    <t>https://grupovanti.sharepoint.com/sites/GerenciadeRegulacin/Shared%20Documents/General/2023/Regulación%202024/102_06_2024%20Requerimiento%20-%20Memorando%20SSPD%20No.%2020248400054993%20del%2026%20de%20abril%20de%202024.%20(Rta%20sale%20correo%20de%20Servicio)</t>
  </si>
  <si>
    <t>Verificación tarifaria Vanti_ envío junio 2024</t>
  </si>
  <si>
    <t>https://grupovanti.sharepoint.com/sites/GerenciadeRegulacin/Shared%20Documents/General/2023/Regulación%202024/101_06_2024%20Verificación%20tarifaria%20Vanti_envío%20junio%202024</t>
  </si>
  <si>
    <t>Respuesta requerimiento SSPD hallazgos visita integral 2022 Vanti</t>
  </si>
  <si>
    <t>https://grupovanti.sharepoint.com/sites/GerenciadeRegulacin/Shared%20Documents/General/2023/Regulación%202024/104_06_2024%20Respuesta%20requerimiento%20SSPD%20hallazgos%20visita%20integral%202022%20Vanti</t>
  </si>
  <si>
    <t>Demanda regulada para el cálculo del Dyij 2024 - alti plano cundiboyacense</t>
  </si>
  <si>
    <t>https://grupovanti.sharepoint.com/sites/GerenciadeRegulacin/Shared%20Documents/General/2023/Regulación%202024/100_06_2024%20Demanda%20regulada%20para%20el%20cálculo%20del%20Dyij%202024%20-%20alti%20plano%20cundiboyacense</t>
  </si>
  <si>
    <t>https://grupovanti.sharepoint.com/:f:/r/sites/GerenciadeRegulacin/Shared%20Documents/General/2023/Regulaci%C3%B3n%202024/100_06_2024%20Demanda%20regulada%20para%20el%20c%C3%A1lculo%20del%20Dyij%202024%20-%20alti%20plano%20cundiboyacense?csf=1&amp;web=1&amp;e=S6bDHo</t>
  </si>
  <si>
    <t>Demanda regulada para el cálculo del Dyij 2024 - Vanti</t>
  </si>
  <si>
    <t>https://grupovanti.sharepoint.com/:f:/r/sites/GerenciadeRegulacin/Shared%20Documents/General/2023/Regulaci%C3%B3n%202024/99_06_2024%20Demanda%20regulada%20para%20el%20c%C3%A1lculo%20del%20Dyij%202024%20-%20Vanti?csf=1&amp;web=1&amp;e=W7xa4G</t>
  </si>
  <si>
    <t>Novedad Regulatoria: Modificación de reglas de comercialización de suministro y transporte de gas natural</t>
  </si>
  <si>
    <t>https://grupovanti.sharepoint.com/:f:/r/sites/GerenciadeRegulacin/Shared%20Documents/General/2023/Regulaci%C3%B3n%202024/98_06_2024_Novedad%20Regulatoria%20Modificaci%C3%B3n%20de%20reglas%20de%20comercializaci%C3%B3n%20de%20suministro%20y%20transporte%20de%20gas%20natural?csf=1&amp;web=1&amp;e=BkDV03</t>
  </si>
  <si>
    <t>RE: 95 -Respuesta para la SSPD compromisos visita integral Vanti 2022</t>
  </si>
  <si>
    <t>https://grupovanti.sharepoint.com/sites/GerenciadeRegulacin/Shared%20Documents/General/2023/Regulación%202024/95_05_2024_Rta%20para%20la%20SSPD%20compromisos%20visita%20integral%20Vanti%202022/95%20-Respuesta%20para%20la%20SSPD%20compromisos%20visita%20integral%20Vanti%202022.pdf</t>
  </si>
  <si>
    <t>Solicitud concepto Resolución CREG 33 de 2015 y 100 de 2003- toma de presión manométrica.</t>
  </si>
  <si>
    <t>https://grupovanti.sharepoint.com/sites/GerenciadeRegulacin/Shared%20Documents/General/2023/Regulación%202024/94_05_2024_Solicitud%20concepto%20Resolución%20CREG%2033%20de%202015%20y%20100%20de%202003-%20toma%20de%20presión%20manométrica/Solicitud%20concepto%20CREG%20Presión%20Manometrica%20VF.pdf</t>
  </si>
  <si>
    <t>CERTIFICACIÓN DE LA PRESTACIÓN DEL SERVICIO GAS POR RED ABRIL Y MAYO 2024 GAS NATURAL CUNDI</t>
  </si>
  <si>
    <t>https://grupovanti.sharepoint.com/sites/GerenciadeRegulacin/Shared%20Documents/General/2023/Regulación%202024/93_05_2024_CERTIFICACIÓN%20DE%20LA%20PRESTACIÓN%20DEL%20SERVICIO%20GAS%20POR%20RED%20ABRIL%20Y%20MAYO%202024%20GAS%20NATURAL%20CUNDIBOYACENSE/Comunicación%20MME%20-%20Certificacion%20prestacion%20de%20servicio%20abril%20y%20mayo%202024%20GNCB.pdf</t>
  </si>
  <si>
    <t xml:space="preserve">CERTIFICACIÓN DE LA PRESTACIÓN DEL SERVICIO GAS POR RED ABRIL Y MAYO 2024 GAS NATURAL </t>
  </si>
  <si>
    <t>https://grupovanti.sharepoint.com/sites/GerenciadeRegulacin/Shared%20Documents/General/2023/Regulación%202024/92_05_2024_CERTIFICACIÓN%20DE%20LA%20PRESTACIÓN%20DEL%20SERVICIO%20GAS%20POR%20RED%20ABRIL%20Y%20MAYO%202024%20VANTI/Comunicación%20MME%20-%20Certificacion%20prestacion%20de%20servicio%20abril%20y%20mayo%202024%20Vanti.pdf</t>
  </si>
  <si>
    <t>CERTIFICACIÓN DE LA PRESTACIÓN DEL SERVICIO GAS POR RED ABRIL Y MAYO 2024 GAS NATURAL DEL ORIENTE</t>
  </si>
  <si>
    <t>https://grupovanti.sharepoint.com/sites/GerenciadeRegulacin/Shared%20Documents/General/2023/Regulación%202024/91_05_2024_CERTIFICACIÓN%20DE%20LA%20PRESTACIÓN%20DEL%20SERVICIO%20GAS%20POR%20RED%20ABRIL%20Y%20MAYO%202024%20GAS%20NATURAL%20DEL%20ORIENTE/Comunicación%20MME%20-%20Certificacion%20prestacion%20de%20servicio%20abril%20y%20mayo%202024%20GOR.pdf</t>
  </si>
  <si>
    <t>CERTIFICACIÓN DE LA PRESTACIÓN DEL SERVICIO GAS POR RED ABRIL Y MAYO 2024 GAS NATURAL DEL CESAR</t>
  </si>
  <si>
    <t>https://grupovanti.sharepoint.com/sites/GerenciadeRegulacin/Shared%20Documents/General/2023/Regulación%202024/90_05_2024_CERTIFICACIÓN%20DE%20LA%20PRESTACIÓN%20DEL%20SERVICIO%20GAS%20POR%20RED%20ABRIL%20Y%20MAYO%202024%20GAS%20NATURAL%20DEL%20CESAR/Comunicación%20MME%20-%20Certificacion%20prestacion%20de%20servicio%20abril%20y%20mayo%202024%20GNCR.pdf</t>
  </si>
  <si>
    <t>Solicitud_reversión_costos_ABC 2022 GNCR SSPD</t>
  </si>
  <si>
    <t>https://grupovanti.sharepoint.com/sites/GerenciadeRegulacin/Shared%20Documents/General/2023/Regulación%202024/87_05_2024_Solicitud_reversión_costos_ABC%202022%20GNCR%20SSPD/87%202024%20-Solicitud%20reversion%20costos%20ABC%20GNCR%20año%202022.pdf</t>
  </si>
  <si>
    <t>Concepto CREG - Factor de presión corregidos a condiciones estandar</t>
  </si>
  <si>
    <t>https://grupovanti.sharepoint.com/sites/GerenciadeRegulacin/Shared%20Documents/General/2023/Regulación%202024/84_05_2024_Concepto%20CREG%20-%20Factor%20de%20presión%20corregidos%20a%20condiciones%20estandar/Solicitud%20concepto%20CREG%20Presión%20Manometrica%20VF.pdf</t>
  </si>
  <si>
    <t>Reversión_PQRS_GNCB_enero_23_marzo_24</t>
  </si>
  <si>
    <t>https://grupovanti.sharepoint.com/sites/GerenciadeRegulacin/Shared%20Documents/General/2023/Regulación%202024/83_05_2024_Reversión_PQRS_GNCB_enero_23_marzo_24/Reversion%20Reclamaciones%20GasCundiboyacense.pdf</t>
  </si>
  <si>
    <t>Reversión_PQRS_GNCR_enero_23_marzo_24</t>
  </si>
  <si>
    <t>https://grupovanti.sharepoint.com/sites/GerenciadeRegulacin/Shared%20Documents/General/2023/Regulación%202024/82_05_2024_Reversión_PQRS_GNCR_enero_23_marzo_24/Reversion%20Reclamaciones%20GasNacer.pdf</t>
  </si>
  <si>
    <t>Reversión_PQRS_VANTI_enero_23_marzo_24</t>
  </si>
  <si>
    <t>https://grupovanti.sharepoint.com/sites/GerenciadeRegulacin/Shared%20Documents/General/2023/Regulación%202024/81_05_2024_Reversión_PQRS_VANTI_enero_23_marzo_24/Reversion%20Reclamaciones%20Vanti.pdf</t>
  </si>
  <si>
    <t>Reversión_PQRS_GOR_enero_23_marzo_24</t>
  </si>
  <si>
    <t>https://grupovanti.sharepoint.com/sites/GerenciadeRegulacin/Shared%20Documents/General/2023/Regulación%202024/80_05_2024_Reversión_PQRS_GOR_enero_23_marzo_24/Reversion%20Reclamaciones%20Vanti.pdf</t>
  </si>
  <si>
    <t>Requerimiento de información tarifaria, copia de las facturas del pago de suministro y transporte de gas natural GOR</t>
  </si>
  <si>
    <t>https://grupovanti.sharepoint.com/:f:/r/sites/GerenciadeRegulacin/Shared%20Documents/General/2023/Regulaci%C3%B3n%202024/97_05_2024_Requerimiento%20de%20informaci%C3%B3n%20tarifaria,%20copia%20de%20las%20facturas%20del%20pago%20de%20suministro%20y%20transporte%20de%20gas%20natural%20GOR?csf=1&amp;web=1&amp;e=jqsnaG</t>
  </si>
  <si>
    <t>Respuesta Rad 20242031822631 Reversion Informe finaciero - Vanti S.A E.S.P</t>
  </si>
  <si>
    <t>https://grupovanti.sharepoint.com/sites/GerenciadeRegulacin/Shared%20Documents/General/2023/Regulación%202024/96_05_2024_Respuesta%20Rad%2020242031822631%20Reversion%20Informe%20finaciero%20-%20Vanti%20S.A%20E.S.P/Print%20validado%20Ok%20Vanti%204Q23.docx</t>
  </si>
  <si>
    <t xml:space="preserve"> información tarifaria copia de las facturas del pago de suministro y transporte de gas natural.</t>
  </si>
  <si>
    <t>https://grupovanti.sharepoint.com/:f:/r/sites/GerenciadeRegulacin/Shared%20Documents/General/2023/Regulaci%C3%B3n%202024/Informaci%C3%B3n%20tarifaria%20suministro%20y%20transporte%20de%20gas%20natural?csf=1&amp;web=1&amp;e=aLjdxY</t>
  </si>
  <si>
    <t>Autogeneracion y produccion marginal</t>
  </si>
  <si>
    <t>offshore - e importación de gas</t>
  </si>
  <si>
    <t>Verificación Tarifaria Marzo 2024</t>
  </si>
  <si>
    <t>https://grupovanti.sharepoint.com/sites/GerenciadeRegulacin/Shared%20Documents/General/2023/Regulación%202024/77_05_2024_Verificación%20tarifaria%20Marzo/Requerimiento%20verificación%20tarifaria%20marzo.pdf</t>
  </si>
  <si>
    <t>Respuesta a los puntos de la mesa de trabajo SSPD</t>
  </si>
  <si>
    <t>https://grupovanti.sharepoint.com/sites/GerenciadeRegulacin/Shared%20Documents/General/2023/Regulación%202024/78_05_2024_Respuesta%20a%20los%20puntos%20e%20la%20mesa%20de%20trabajo%20SSPD/78-Respuesta%20compromisos%20mesa%20de%20trabajo%2006%20de%20mayo%20SSPD_vf_.pdf</t>
  </si>
  <si>
    <t>Solicitud de información AG8 – 37 Auditoria cumplimiento subsidios GAS MME</t>
  </si>
  <si>
    <t>https://grupovanti.sharepoint.com/sites/GerenciadeRegulacin/Shared%20Documents/General/2023/Regulación%202024/75_05_2024_Solicitud%20de%20información%20AG8%20–%2037%20Auditoria%20cumplimiento%20subsidios%20GAS%20MME/Respuesta%20al%20requerimiento%20de%20información%20AG8-37%20Auditoría%20cumplimientos%20subsidios%20gas%20MME.pdf</t>
  </si>
  <si>
    <t>Solicitud de información AG8 – 30 – radicado 2021EE0073666 Auditoria cumplimiento subsidios GAS MME</t>
  </si>
  <si>
    <t>https://grupovanti.sharepoint.com/sites/GerenciadeRegulacin/Shared%20Documents/General/2023/Regulación%202024/74_05_2024_Reiteración%20Solicitud%20de%20información%20AG8%20–%2030%20–%20radicado%202021EE0073666%20Auditoria%20cumplimiento%20subsidios%20GAS%20MME/Respuesta%20radicado%202024EE0073042_vf.pdf</t>
  </si>
  <si>
    <t>Solicitud de información AG8 – 31- radicado 2024EE0073092 Auditoria cumplimiento subsidios GAS MME</t>
  </si>
  <si>
    <t>https://grupovanti.sharepoint.com/sites/GerenciadeRegulacin/Shared%20Documents/General/2023/Regulación%202024/73_05_2024_Reiteración%20Solicitud%20de%20información%20AG8%20–%2031-%20radicado%202024EE0073092%20Auditoria%20cumplimiento%20subsidios%20GAS%20MME/Respuesta%20radicado%202024EE0073092_vf.pdf</t>
  </si>
  <si>
    <t>Comentarios al Proyecto de Resolución "Por la cual se establecen los requisitos para la presentación, evaluación, priorización y asignación de recursos para los proyectos de infraestructura de gas combustible cofinanciados con recursos del Presupuesto General</t>
  </si>
  <si>
    <t>https://grupovanti.sharepoint.com/:f:/r/sites/GerenciadeRegulacin/Shared%20Documents/General/2023/Regulaci%C3%B3n%202024/cofinanciados%20con%20recursos%20del%20Presupuesto%20Gen?csf=1&amp;web=1&amp;e=P1XSYh</t>
  </si>
  <si>
    <t>Rechazo del aporte del concurso económico correspondiente a la 
vigencia del año 2024.</t>
  </si>
  <si>
    <t>https://grupovanti.sharepoint.com/sites/GerenciadeRegulacin/Shared%20Documents/General/2023/Regulación%202024/76_05_2024_Rechazo%20del%20aporte%20del%20concurso%20económico%20correspondiente%20a%20la%20vigencia%20del%20año%202024/Rechazo%20del%20aporte%20del%20concurso%20económico%20correspondiente%20a%20la%20vigencia%20del%20año%202024_Barrancabermeja.pdf</t>
  </si>
  <si>
    <t xml:space="preserve">Anexo 18 de la Resolución CREG 050 todas las filiales </t>
  </si>
  <si>
    <t>https://grupovanti.sharepoint.com/sites/GerenciadeRegulacin/Shared%20Documents/General/2023/Regulación%202024/79_05_2024_Anexo%2018%20de%20la%20Resolución%20Creg%20050%20todas%20las%20filiales/Circular050-2021%20Anexo_Vanti%20SV.xlsx</t>
  </si>
  <si>
    <t>Solicitud Resolución Controversia GOR - PROMIORIENTE- CREG - Art 73 Ley 142 de 1994</t>
  </si>
  <si>
    <t>https://grupovanti.sharepoint.com/sites/GerenciadeRegulacin/Shared%20Documents/General/2023/Regulación%202024/72_04_2024_Requerimiento%20Calidad%20de%20la%20Información%20-%20Taxonomía%20XBRL%202022/73%20-%20Respuesta%20SSPD%20Radicado%2020242301412171.pdf</t>
  </si>
  <si>
    <t>Comentarios Grupo Vanti proyecto de decreto: Por el cual se reglamenta el Fondo Único de Soluciones Energéticas - FONENERGÍA</t>
  </si>
  <si>
    <t>https://grupovanti.sharepoint.com/:f:/r/sites/GerenciadeRegulacin/Shared%20Documents/General/2023/Regulaci%C3%B3n%202024/Soluciones%20Energ%C3%A9ticas%20-%20FONENERG%C3%8DA?csf=1&amp;web=1&amp;e=ccunj6</t>
  </si>
  <si>
    <t>Comentarios a proyecto de resolución comercialización excedentes de gas</t>
  </si>
  <si>
    <t>https://grupovanti.sharepoint.com/:f:/r/sites/GerenciadeRegulacin/Shared%20Documents/General/2023/Regulaci%C3%B3n%202024/proyecto%20excedentes%20de%20gas?csf=1&amp;web=1&amp;e=fCvKPe</t>
  </si>
  <si>
    <t>Solicitud Resolución de Controversia Gas Natural del Oriente  - TGI CREG Articulo 73.8  Ley 142 de 1994</t>
  </si>
  <si>
    <t>https://grupovanti.sharepoint.com/sites/GerenciadeRegulacin/Shared%20Documents/General/2023/Regulación%202024/69_04_2024_Solicitud%20Resolución%20de%20Controversia%20Gas%20Natural%20del%20Oriente%20%20-%20TGI%20CREG%20Articulo%2073.8%20%20Ley%20142%20de%201994/Solicitud%20Resolución%20de%20Controversia%20Gas%20Natural%20del%20Oriente%20-TGI%20-%20CREG%20Ley%20142%202.04.2024.pdf</t>
  </si>
  <si>
    <t>Solicitud Resolución de Controversia Gas Natural Cundiboyacense - TGI CREG Articulo 73.8  Ley 142 de 1994</t>
  </si>
  <si>
    <t>https://grupovanti.sharepoint.com/sites/GerenciadeRegulacin/Shared%20Documents/General/2023/Regulación%202024/68_04_2024_Solicitud%20Resolución%20de%20Controversia%20Gas%20Natural%20Cundiboyacense%20-%20TGI%20CREG%20Articulo%2073.8%20%20Ley%20142%20de%201994/Solicitud%20Resolución%20de%20Controversia%20Gas%20Natural%20Cundiboyacense%20TGI%20CREG%20Ley%20142%202.04.2024.pdf</t>
  </si>
  <si>
    <t>https://grupovanti.sharepoint.com/sites/GerenciadeRegulacin/Shared%20Documents/General/2023/Regulación%202024/71_04_2024_Solicitud%20Resolución%20Controversia%20GOR%20-%20PROMIORIENTE-%20CREG%20-%20Art%2073%20Ley%20142%20de%201994/Solicitud%20Resolución%20Controversia%20GOR%20-%20PROMIORIENTE-%20CREG%20-%20Art%2073%20Ley%20142%20de%201994.pdf</t>
  </si>
  <si>
    <t>Comentarios sobre la Resolución CREG 705 006 de 2024</t>
  </si>
  <si>
    <t>https://grupovanti.sharepoint.com/:f:/r/sites/GerenciadeRegulacin/Shared%20Documents/General/2023/Regulaci%C3%B3n%202024/64_04_2024_Desviaciones%20significativas?csf=1&amp;web=1&amp;e=kxkTHv</t>
  </si>
  <si>
    <t>Consultas enero y febrero.</t>
  </si>
  <si>
    <t>https://grupovanti.sharepoint.com/sites/GerenciadeRegulacin/Shared%20Documents/General/2023/Regulación%202024/66_04_2024_Consultas%20enero%20y%20febrero/CONSULTAS%20DANE%2004_2024.pdf</t>
  </si>
  <si>
    <t>URG_VIP RV: ENTES DE CONTROL 582 / Ticket  12896304  -  0 (Solicitud de información se usuarios con servicio). Días de gestión 6.</t>
  </si>
  <si>
    <t>https://grupovanti.sharepoint.com/sites/GerenciadeRegulacin/Shared%20Documents/General/2023/Regulación%202024/65_04_2024_URG_VIP%20ENTES%20DE%20CONTROL%20582%20Ticket%20%2012896304%20%20-%20%200%20(Solicitud%20de%20información%20se%20usuarios%20con%20servicio).%20Días%20de%20gestión%206/REQUERIMIENTO_GOR_TOTAL_2024.xlsx</t>
  </si>
  <si>
    <t xml:space="preserve"> Respuesta usuarios exentos SSPD GNCB</t>
  </si>
  <si>
    <t>https://grupovanti.sharepoint.com/sites/GerenciadeRegulacin/Shared%20Documents/General/2023/Regulación%202024/60_04_2024_%20Respuesta%20usuarios%20exentos%20SSPD%20GNCB/60%20-%20SSPD%20Alcance%20a%20respuesta%20al%20radicado%2020242310841771%20Usuarios%20exentos%20Cundi%20(002)%20(1).pdf</t>
  </si>
  <si>
    <t xml:space="preserve"> Respuesta usuarios exentos SSPD VANTI</t>
  </si>
  <si>
    <t>https://grupovanti.sharepoint.com/sites/GerenciadeRegulacin/Shared%20Documents/General/2023/Regulación%202024/59_04_2024_%20Respuesta%20usuarios%20exentos%20SSPD%20VANTI/59%20-%20SSPD%20Alcance%20a%20respuesta%20al%20radicado%2020242310841591%20Usuarios%20exentos%20Vanti%20(1).pdf</t>
  </si>
  <si>
    <t>Formulario DANE Febrero 2024</t>
  </si>
  <si>
    <t>https://grupovanti.sharepoint.com/sites/GerenciadeRegulacin/Shared%20Documents/General/2023/Regulación%202024/62_04_2024_Formulario%20DANE%20Febrero%202024/Reporte%20DANE.pdf</t>
  </si>
  <si>
    <t>https://grupovanti.sharepoint.com/sites/GerenciadeRegulacin/Shared%20Documents/General/2023/Regulación%202024/67_04_2024_Creg%20050%20todas%20las%20filiales</t>
  </si>
  <si>
    <t>Radicado No. 20232301504281 - Requerimiento Contrato de AEGR, vigente sin copia en RUPS.</t>
  </si>
  <si>
    <t>https://grupovanti.sharepoint.com/sites/GerenciadeRegulacin/Shared%20Documents/General/2023/Regulación%202024/61_04_2024_Radicado%20No.%2020232301504281%20-%20Requerimiento%20Contrato%20de%20AEGR,%20vigente%20sin%20copia%20en%20RUPS/Radicado%20No.%2020232301504281%20-%20Requerimiento%20Contrato%20de%20AEGR%20-%20IR%20(1).pdf</t>
  </si>
  <si>
    <t>Radicado No. 2024231011993 - REQ Información tarifaria 02_2024</t>
  </si>
  <si>
    <t>https://grupovanti.sharepoint.com/sites/GerenciadeRegulacin/Shared%20Documents/General/2023/Regulación%202024/58_04_2024_Radicado%20No.%202024231011993%20-%20REQ%20Información%20tarifaria%2002_2024/Radicado%20No.%202024231011993%20-%20REQ%20Información%20tarifaria%2002_2024.pdf</t>
  </si>
  <si>
    <t>Respuesta usuarios exentos SSPD GNCR</t>
  </si>
  <si>
    <t>https://grupovanti.sharepoint.com/sites/GerenciadeRegulacin/Shared%20Documents/General/2023/Regulación%202024/57_03_2024_Respuesta%20usuarios%20exentos%20SSPD%20GNCR/57%20-%20SSPD%20Respuesta%20al%20radicado%2020242310841621%20Usuarios%20exentos%20Gasnacer.pdf</t>
  </si>
  <si>
    <t>Respuesta usuarios exentos SSPD GNCB</t>
  </si>
  <si>
    <t>https://grupovanti.sharepoint.com/sites/GerenciadeRegulacin/Shared%20Documents/General/2023/Regulación%202024/56_03_2024_Respuesta%20usuarios%20exentos%20SSPD%20Cundi/56%20-%20SSPD%20Respuesta%20al%20radicado%2020242310841771%20Usuarios%20exentos%20Cundi.pdf</t>
  </si>
  <si>
    <t>Respuesta usuarios exentos SSPD GOR</t>
  </si>
  <si>
    <t>https://grupovanti.sharepoint.com/sites/GerenciadeRegulacin/Shared%20Documents/General/2023/Regulación%202024/55_03_2024_Respuesta%20usuarios%20exentos%20SSPD%20GOR/55%20-%20SSPD%20Respuesta%20al%20radicado%2020242310841631%20Usuarios%20exentos%20Gasoriente.pdf</t>
  </si>
  <si>
    <t>Respuesta usuarios exentos SSPD Vanti</t>
  </si>
  <si>
    <t>https://grupovanti.sharepoint.com/sites/GerenciadeRegulacin/Shared%20Documents/General/2023/Regulación%202024/54_03_2024_Respuesta%20usuarios%20exentos%20SSPD%20Vanti/54%20-%20SSPD%20Respuesta%20al%20radicado%2020242310841591%20Usuarios%20exentos%20Vanti.pdf</t>
  </si>
  <si>
    <t>Solicitud Resolución Controversia Artículo 73.8 Ley 142 de 1994</t>
  </si>
  <si>
    <t>https://grupovanti.sharepoint.com/sites/GerenciadeRegulacin/Shared%20Documents/General/2023/Regulación%202024/51_03_2024_Solicitud%20Resolución%20Controversia%20Artículo%2073.8%20Ley%20142%20de%201994/Solicitud%20Resolución%20Controversia%20VANTI%20-%20TRANSMETANO-%20CREG%20-%20Art%2073%20Ley%20142%20de%201994.pdf</t>
  </si>
  <si>
    <t>Comentarios al proyecto de decreto: Disponibilidad de gas natural con destino a la demanda de gas eléctrica durante eventos de baja hidrología</t>
  </si>
  <si>
    <t>https://grupovanti.sharepoint.com/:f:/r/sites/GerenciadeRegulacin/Shared%20Documents/General/2023/Regulaci%C3%B3n%202024/Disponibilidad%20de%20gas%20natural?csf=1&amp;web=1&amp;e=vAaoAm</t>
  </si>
  <si>
    <t>Comentarios al proyecto de decreto: Políticas y lineamientos para la eficiencia tarifaria en el sector energético</t>
  </si>
  <si>
    <t>https://grupovanti.sharepoint.com/:f:/r/sites/GerenciadeRegulacin/Shared%20Documents/General/2023/Regulaci%C3%B3n%202024/Eficiencia%20tarifaria%20en%20el%20sector%20energ%C3%A9tico?csf=1&amp;web=1&amp;e=KJE8Da</t>
  </si>
  <si>
    <t>Radicado No. 2024231011993 - REQ Información tarifaria 01_2024</t>
  </si>
  <si>
    <t>https://grupovanti.sharepoint.com/sites/GerenciadeRegulacin/Shared%20Documents/General/2023/Regulación%202024/43_03_2024_Radicado%20No.%202024231011993%20-%20REQ%20Información%20tarifaria%2001_2024/Respuesta%20al%20radicado%202024203231100012E,%20solicitud%20reversión%20reporte%20Sistema%20Unificado%20de%20Costos%20y%20Gastos-SUCG%20vigencia%202022..zip</t>
  </si>
  <si>
    <t>Reversión T1 Vanti</t>
  </si>
  <si>
    <t>https://grupovanti.sharepoint.com/sites/GerenciadeRegulacin/Shared%20Documents/General/2023/Regulación%202024/41_02_2024_Reversión%20T1%20Vanti/41-Respuesta%20rad.%20SSPD%2020242030613111%20Reversión%20T1_JR.pdf</t>
  </si>
  <si>
    <t>Respuesta al radicado 2024203231100012E, solicitud reversión reporte Sistema Unificado de Costos y Gastos-SUCG vigencia 2022.</t>
  </si>
  <si>
    <t>https://grupovanti.sharepoint.com/sites/GerenciadeRegulacin/Shared%20Documents/General/2023/Regulación%202024/44_02_2024_Respuesta%20al%20radicado%202024203231100012E,%20solicitud%20reversión%20reporte%20Sistema%20Unificado%20de%20Costos%20y%20Gastos-SUCG%20vigencia%202022/Respuesta%20al%20radicado%202024203231100012E,%20solicitud%20reversión%20reporte%20Sistema%20Unificado%20de%20Costos%20y%20Gastos-SUCG%20vigencia%202022.%20(1).zip</t>
  </si>
  <si>
    <t>Certificación de la prestación del servicio (VANTI, GNCB, GOR, GNCR)</t>
  </si>
  <si>
    <t>https://grupovanti.sharepoint.com/sites/GerenciadeRegulacin/Shared%20Documents/General/2023/Regulación%202024/27_02_2024_Certificación%20de%20la%20prestación%20del%20servicio%20(VANTI,%20GNCB,%20GOR,%20GNCR)/Comunicación%20MME%20-%20Certificacion%20prestacion%20de%20servicio%20enero%20y%20febrero%202024%20GNCR.pdf</t>
  </si>
  <si>
    <t>https://grupovanti.sharepoint.com/sites/GerenciadeRegulacin/Shared%20Documents/General/2023/Regulación%202024/27_02_2024_Certificación%20de%20la%20prestación%20del%20servicio%20(VANTI,%20GNCB,%20GOR,%20GNCR)/Comunicación%20MME%20-%20Certificacion%20prestacion%20de%20servicio%20enero%20y%20febrero%202024%20GOR.pdf</t>
  </si>
  <si>
    <t>https://grupovanti.sharepoint.com/sites/GerenciadeRegulacin/Shared%20Documents/General/2023/Regulación%202024/27_02_2024_Certificación%20de%20la%20prestación%20del%20servicio%20(VANTI,%20GNCB,%20GOR,%20GNCR)/Comunicación%20MME%20-%20Certificacion%20prestacion%20de%20servicio%20enero%20y%20febrero%202024%20GNCB.pdf</t>
  </si>
  <si>
    <t>https://grupovanti.sharepoint.com/sites/GerenciadeRegulacin/Shared%20Documents/General/2023/Regulación%202024/27_02_2024_Certificación%20de%20la%20prestación%20del%20servicio%20(VANTI,%20GNCB,%20GOR,%20GNCR)/Comunicación%20MME%20-%20Certificacion%20prestacion%20de%20servicio%20enero%20y%20febrero%202024%20Vanti.pdf</t>
  </si>
  <si>
    <t>Respuesta al radicado 2024230380800015 - Revisión calidad de la información cargada en el año 2023</t>
  </si>
  <si>
    <t>https://grupovanti.sharepoint.com/sites/GerenciadeRegulacin/Shared%20Documents/General/2023/Regulación%202024/34_02_2024_Respuesta%20al%20radicado%202024230380800015%20-%20Revisión%20calidad%20de%20la%20información%20cargada%20en%20el%20año%202023/Respuesta%20SSPD%2020242300540931%20Revisión%20calidad%20de%20la%20información%20cargada%20a%20SUI%20GOR.pdf</t>
  </si>
  <si>
    <t>Indicadores CREG 072</t>
  </si>
  <si>
    <t>https://grupovanti.sharepoint.com/sites/GerenciadeRegulacin/Shared%20Documents/General/2023/Regulación%202024/40_02_2024_Indicadores%20CREG%20072/40%20-%20SSPD%20Indicadores%20CREG%20072%20de%202002_Gasoriente_medición%202023_JR.pdf</t>
  </si>
  <si>
    <t>https://grupovanti.sharepoint.com/sites/GerenciadeRegulacin/Shared%20Documents/General/2023/Regulación%202024/39_02_2024_Indicadores%20CREG%20072/39%20-%20SSPD%20Indicadores%20CREG%20072%20de%202002_Gasnacer_medición%202023_JR.pdf</t>
  </si>
  <si>
    <t>https://grupovanti.sharepoint.com/sites/GerenciadeRegulacin/Shared%20Documents/General/2023/Regulación%202024/38_02_2024_Indicadores%20CREG%20072/38%20-%20SSPD%20Indicadores%20CREG%20072%20de%202002_Cundi_medición%202023_JR.pdf</t>
  </si>
  <si>
    <t>https://grupovanti.sharepoint.com/sites/GerenciadeRegulacin/Shared%20Documents/General/2023/Regulación%202024/37_02_2024_Indicadores%20CREG%20072/37%20-%20SSPD%20Indicadores%20CREG%20072%20de%202002_Vanti_medición%202023_JR.pdf</t>
  </si>
  <si>
    <t>Postulación para coordinación de la Cámara Sectorial de Gas Natural</t>
  </si>
  <si>
    <t>25_02_2024 Postulación para coordinación de la Cámara Sectorial de Gas Natural</t>
  </si>
  <si>
    <t>Requerimiento Calidad de la Información - Taxonomía XBRL 2022 gor</t>
  </si>
  <si>
    <t>https://grupovanti.sharepoint.com/sites/GerenciadeRegulacin/Shared%20Documents/General/2023/Regulación%202024/30_02_2024_Requerimiento%20Calidad%20de%20la%20Información%20-%20Taxonomía%20XBRL%202022%20GOR/Respuesta%20Radicado%20No.%2020242300419411%20Requerimiento%20Calidad%20de%20la%20Información%20-%20Taxonomía%20XBRL%202022.%20(1).pdf</t>
  </si>
  <si>
    <t>Requerimiento Calidad de la Información - Taxonomía XBRL 2022 GNCB</t>
  </si>
  <si>
    <t>https://grupovanti.sharepoint.com/sites/GerenciadeRegulacin/Shared%20Documents/General/2023/Regulación%202024/29_02_2024_Requerimiento%20Calidad%20de%20la%20Información%20-%20Taxonomía%20XBRL%202022%20GNCB/Respuesta%20Radicado%20No.%2020242300418781%20Requerimiento%20Calidad%20de%20la%20Información%20-%20Taxonomía%20XBRL%202022..pdf</t>
  </si>
  <si>
    <t>https://grupovanti.sharepoint.com/sites/GerenciadeRegulacin/Shared%20Documents/General/2023/Regulación%202024/26_02_2024_Anexo%2018%20de%20la%20Resolución%20CREG%20050%20todas%20las%20filiales/Respuesta%20al%20requerimiento%20SSPD%2020242310301431.%20Información%20incendios%20forestales.%20GOR.pdf</t>
  </si>
  <si>
    <t>Respuesta Radicado No. 20242310119931 Requerimiento de información tarifaria periodo noviembre 2023, copia de las facturas VANTI</t>
  </si>
  <si>
    <t>https://grupovanti.sharepoint.com/sites/GerenciadeRegulacin/Shared%20Documents/General/2023/Regulación%202024/24_02_2024_Respuesta%20Radicado%20No.%2020242310119931%20Requerimiento%20de%20información%20tarifaria%20periodo%20noviembre%202023,%20copia%20de%20las%20facturas%20VANTI/Respuesta%20Radicado%20No.%2020242310119931%20Requerimiento%20de%20información%20tarifaria%20periodo%20diciembre%202023%20copia%20de%20las%20facturas.pdf</t>
  </si>
  <si>
    <t>Comentarios Plan de Abastecimiento de Gas Natural 2023-2038</t>
  </si>
  <si>
    <t>https://grupovanti.sharepoint.com/:f:/r/sites/GerenciadeRegulacin/Shared%20Documents/General/2023/Regulaci%C3%B3n%202024/Plan%20Abastecimiento%20Gas%20Natural%202023-2038?csf=1&amp;web=1&amp;e=fCJuCu</t>
  </si>
  <si>
    <t>Solicitud Acceso Expediente 2020-0227</t>
  </si>
  <si>
    <t>https://grupovanti.sharepoint.com/:f:/r/sites/GerenciadeRegulacin/Shared%20Documents/General/2023/Regulaci%C3%B3n%202024/Solicitud%20expediente%202020-0227?csf=1&amp;web=1&amp;e=7EJ3Uw</t>
  </si>
  <si>
    <t>Solicitud memoria de cálculo agregación tramos. Radicado CREG S2024000975</t>
  </si>
  <si>
    <t>https://grupovanti.sharepoint.com/:f:/r/sites/GerenciadeRegulacin/Shared%20Documents/General/2023/Regulaci%C3%B3n%202024/28_01_2024_Respuesta%20a%20la%20solicitud%20de%20ampliaci%C3%B3n%20de%20informaci%C3%B3n%20sobre%20el%20estudio%20de%20costo-beneficio%20para%20la%20agregaci%C3%B3n%20de%20tramos%20regulados%20del%20SNT.%20Radicado%20CREG%20S2024000975?csf=1&amp;web=1&amp;e=jTcu2U</t>
  </si>
  <si>
    <t>Respuesta a la solicitud de ampliación de información sobre el estudio de costo-beneficio para la agregación de tramos regulados del SNT. Radicado CREG S2024000975</t>
  </si>
  <si>
    <t>https://grupovanti.sharepoint.com/sites/GerenciadeRegulacin/Shared%20Documents/General/2023/Regulación%202024/28_01_2024_Respuesta%20a%20la%20solicitud%20de%20ampliación%20de%20información%20sobre%20el%20estudio%20de%20costo-beneficio%20para%20la%20agregación%20de%20tramos%20regulados%20del%20SNT.%20Radicado%20CREG%20S2024000975/Respuesta%20solicitud%20memoria%20de%20cálculo%20agregación%20tramos_F.pdf</t>
  </si>
  <si>
    <t xml:space="preserve">Solicitud de información cobro concurso economico </t>
  </si>
  <si>
    <t>https://grupovanti.sharepoint.com/sites/GerenciadeRegulacin/Shared%20Documents/General/2023/Regulación%202024/14_01_2024_Solicitud%20de%20información%20cobro%20concurso%20economico/Respuesta%20al%20requerimiento%20SSPD%2020242310301591%20Información%20incendios%20forestales%20GNCB.pdf</t>
  </si>
  <si>
    <t>CHIA</t>
  </si>
  <si>
    <t>https://grupovanti.sharepoint.com/sites/GerenciadeRegulacin/Shared%20Documents/General/2023/Regulación%202024/14_01_2024_CHIA/Respuesta%20al%20requerimiento%20SSPD%2020242310301591%20Información%20incendios%20forestales%20GNCB.pdf</t>
  </si>
  <si>
    <t>Alcance a comentarios enviados sobre Resolución CREG 705 002 de 2023 “Por la cual se modifican transitoriamente los artículos 37 y 38 de la Resolución CREG 108 de 1997”</t>
  </si>
  <si>
    <t>https://grupovanti.sharepoint.com/:f:/r/sites/GerenciadeRegulacin/Shared%20Documents/General/2023/Regulaci%C3%B3n%202024/10154520%E2%80%93006%E2%80%932024?csf=1&amp;web=1&amp;e=UuT43g</t>
  </si>
  <si>
    <t>Apuestas del plan energético nacional</t>
  </si>
  <si>
    <t>https://grupovanti.sharepoint.com/:f:/r/sites/GerenciadeRegulacin/Shared%20Documents/General/2023/Regulaci%C3%B3n%202024/36_02_2024_Apuestas%20del%20plan%20energ%C3%A9tico%20nacional?csf=1&amp;web=1&amp;e=8icn4a</t>
  </si>
  <si>
    <t>Intención de participar en la construcción del PEN 2024-2054</t>
  </si>
  <si>
    <t>https://grupovanti.sharepoint.com/:f:/r/sites/GerenciadeRegulacin/Shared%20Documents/General/2023/Regulaci%C3%B3n%202024/PEN%202024-2054?csf=1&amp;web=1&amp;e=nU0rUQ</t>
  </si>
  <si>
    <t>Comentarios Grupo Vanti Plan Integral de Seguridad Energética en gas natural - PISE</t>
  </si>
  <si>
    <t>https://grupovanti.sharepoint.com/:b:/r/sites/GerenciadeRegulacin/Shared%20Documents/General/2023/Regulaci%C3%B3n%202024/10154520_005_2024/027-%20Comentarios%20Taxonomia%20EEFF%202020.pdf?csf=1&amp;web=1&amp;e=cHGvMY</t>
  </si>
  <si>
    <t>https://grupovanti.sharepoint.com/sites/GerenciadeRegulacin/Shared%20Documents/General/2023/Regulación%202024/15_01_2024_Intención%20de%20participar%20en%20la%20construcción%20del%20PEN%202024-2054/CARTA%20PEN.pdf</t>
  </si>
  <si>
    <t>Respuesta Radicado No. 20232314992451 Requerimiento de información tarifaria periodo octubre 2023, copia de las facturas.</t>
  </si>
  <si>
    <t>https://grupovanti.sharepoint.com/sites/GerenciadeRegulacin/Shared%20Documents/General/2023/Regulación%202024/02_01_2024_Respuesta%20Radicado%20No.%2020232314992451%20Requerimiento%20de%20información/Respuesta%20Radicado%20No.%2020232314992451%20Requerimiento%20de%20información%20tarifaria%20periodo%20octubre%202023.pdf</t>
  </si>
  <si>
    <t>https://grupovanti-my.sharepoint.com/:f:/r/personal/g0574626_grupovanti_com/Documents/Nuevo%20SUI/02.%20Seguimiento/CONSECUTIVOS/Regulaci%C3%B3n%202024/02_01_2024_Respuesta%20Radicado%20No.%2020232314992451%20Requerimiento%20de%20informaci%C3%B3n?csf=1&amp;web=1&amp;e=jVgiLq</t>
  </si>
  <si>
    <t>Comentarios del Grupo Vanti al Plan de Acción Minenergía 2024</t>
  </si>
  <si>
    <t>https://grupovanti.sharepoint.com/:f:/r/sites/GerenciadeRegulacin/Shared%20Documents/General/2023/Regulaci%C3%B3n%202024/Plan%20de%20Acci%C3%B3n%20Minenerg%C3%ADa%202024?csf=1&amp;web=1&amp;e=hDirYz</t>
  </si>
  <si>
    <t>https://grupovanti.sharepoint.com/sites/GerenciadeRegulacin/Shared%20Documents/General/2023/Regulación%202024/07_01_2024_Comentarios%20del%20Grupo%20Vanti%20al%20Plan%20de%20Acción%20Minenergía%202024/PlanAccion2024-Minenergia-Comentarios.xlsx</t>
  </si>
  <si>
    <t>Información Incendios Forestales GNCR</t>
  </si>
  <si>
    <t>https://grupovanti.sharepoint.com/sites/GerenciadeRegulacin/Shared%20Documents/General/2023/Regulación%202024/19_01_2024_Información%20Incendios%20Forestales%20GNCR/Respuesta%20al%20requerimiento%20SSPD%2020242310301421.%20Información%20incendios%20forestales.%20GNCR.pdf</t>
  </si>
  <si>
    <t>Información Incendios Forestales GOR</t>
  </si>
  <si>
    <t>https://grupovanti.sharepoint.com/sites/GerenciadeRegulacin/Shared%20Documents/General/2023/Regulación%202024/18_01_2024_Información%20Incendios%20Forestales%20GOR/Respuesta%20al%20requerimiento%20SSPD%2020242310301431.%20Información%20incendios%20forestales.%20GOR.pdf</t>
  </si>
  <si>
    <t>Información Incendios Forestales GNCB</t>
  </si>
  <si>
    <t>https://grupovanti.sharepoint.com/sites/GerenciadeRegulacin/Shared%20Documents/General/2023/Regulación%202024/17_01_2024_Información%20Incendios%20Forestales%20GNCB/Respuesta%20al%20requerimiento%20SSPD%2020242310301591%20Información%20incendios%20forestales%20GNCB%20(1).pdf</t>
  </si>
  <si>
    <t>Información Incendios Forestales GN</t>
  </si>
  <si>
    <t>https://grupovanti.sharepoint.com/sites/GerenciadeRegulacin/Shared%20Documents/General/2023/Regulación%202024/16_01_2024_Información%20Incendios%20Forestales%20GN/Respuesta%20al%20requerimiento%20SSPD%2020242310301591%20Información%20incendios%20forestales%20GNCB%20(1).pdf</t>
  </si>
  <si>
    <t>Anexo 18 de la Resolución CREG 202 de 2013</t>
  </si>
  <si>
    <t>https://grupovanti.sharepoint.com/sites/GerenciadeRegulacin/Shared%20Documents/General/2023/Regulación%202024/12_01_2024_Anexo%2018%20de%20la%20Resolución%20CREG%20202%20de%202015%20GNCR/012%20CREG%20Reporte%20Activos%202023_Gasnacer.pdf</t>
  </si>
  <si>
    <t>https://grupovanti.sharepoint.com/sites/GerenciadeRegulacin/Shared%20Documents/General/2023/Regulación%202024/11_01_2024_Anexo%2018%20de%20la%20Resolución%20CREG%20202%20de%202013%20GNCB/011%20CREG%20Reporte%20Activos%202023-GNCB.pdf</t>
  </si>
  <si>
    <t>https://grupovanti.sharepoint.com/sites/GerenciadeRegulacin/Shared%20Documents/General/2023/Regulación%202024/10_01_2024_Anexo%2018%20de%20la%20Resolución%20CREG%20202%20de%202014%20GN/010%20CREG%20Reporte%20Activos%202023%20Vanti.pdf</t>
  </si>
  <si>
    <t xml:space="preserve">Solicitud de reversión de formato T1 (INFORMACIÓN ESTACIÓN REGULACIÓN Y TANQUES ALMACENAMIENTO) vigencia 2022.  </t>
  </si>
  <si>
    <t>D:\Users\90046339\OneDrive - Vanti\Nuevo SUI\02. Seguimiento\CONSECUTIVOS\Regulación 2023\183_12_2023 Solicitud de reversión de formato T1 (INFORMACIÓN ESTACIÓN REGULACIÓN Y TANQUES ALMACENAMIENTO) vigencia 2022. \Solicitud de reversión de formato T1 .pdf</t>
  </si>
  <si>
    <t>D:\Users\90046339\OneDrive - Vanti\Nuevo SUI\02. Seguimiento\CONSECUTIVOS\Regulación 2023\183_12_2023 Solicitud de reversión de formato T1 (INFORMACIÓN ESTACIÓN REGULACIÓN Y TANQUES ALMACENAMIENTO) vigencia 2022. \T1_GN_DIC_2022_AC.csv</t>
  </si>
  <si>
    <t>Solicitud reversión reporte Sistema Unificado de Costos y Gastos_x0002_SUCG vigencia 2022.</t>
  </si>
  <si>
    <t>https://grupovanti-my.sharepoint.com/:b:/r/personal/g0574626_grupovanti_com/Documents/Nuevo%20SUI/02.%20Seguimiento/CONSECUTIVOS/Regulaci%C3%B3n%202024/01_01_2024_REVERSION%20AOM%202022/01%202024%20-Solicitud%20reversion%20costos%20ABC%20a%C3%B1o%202022.pdf?csf=1&amp;web=1&amp;e=HheaT8</t>
  </si>
  <si>
    <t>https://grupovanti-my.sharepoint.com/:b:/r/personal/g0574626_grupovanti_com/Documents/Nuevo%20SUI/02.%20Seguimiento/CONSECUTIVOS/Regulaci%C3%B3n%202024/01_01_2024_REVERSION%20AOM%202022/01%202024%20-Solicitud%20reversion%20costos%20ABC%20a%C3%B1o%202022.pdf?csf=1&amp;web=1&amp;e=HheaT</t>
  </si>
  <si>
    <t>Reporte Circular CREG 050 de GNCR S.A ESP</t>
  </si>
  <si>
    <t>https://grupovanti.sharepoint.com/:u:/r/sites/GerenciadeRegulacin/Shared%20Documents/General/2023/Regulaci%C3%B3n/Circular%20CREG%20050/Diciembre/Reporte%20Circular%20CREG%20050%20de%20Gas%20Natural%20del%20Cesar%20S.A%20ESP.eml?csf=1&amp;web=1&amp;e=WHyA4f</t>
  </si>
  <si>
    <t>https://grupovanti.sharepoint.com/:f:/r/sites/GerenciadeRegulacin/Shared%20Documents/General/2023/Regulaci%C3%B3n/Circular%20CREG%20050/Diciembre?csf=1&amp;web=1&amp;e=C7THeu</t>
  </si>
  <si>
    <t>Reportes</t>
  </si>
  <si>
    <t>Reporte Circular CREG 050 de Barrancabermeja</t>
  </si>
  <si>
    <t>https://grupovanti.sharepoint.com/:u:/r/sites/GerenciadeRegulacin/Shared%20Documents/General/2023/Regulaci%C3%B3n/Circular%20CREG%20050/Diciembre/Reporte%20Circular%20CREG%20050%20de%20Barrancabermeja.eml?csf=1&amp;web=1&amp;e=bPrjpV</t>
  </si>
  <si>
    <t>Reporte Circular CREG 050 de VANTI S.A ESP</t>
  </si>
  <si>
    <t>https://grupovanti.sharepoint.com/:u:/r/sites/GerenciadeRegulacin/Shared%20Documents/General/2023/Regulaci%C3%B3n/Circular%20CREG%20050/Diciembre/Reporte%20Circular%20CREG%20050%20de%20Vanti%20S.A%20ESP.eml?csf=1&amp;web=1&amp;e=rDmczO</t>
  </si>
  <si>
    <t>Publicación proyecto de agenda regulatoria indicativa del 2024 - DOCUMENTO CREG- 905 005</t>
  </si>
  <si>
    <t>https://grupovanti.sharepoint.com/:b:/r/sites/GerenciadeRegulacin/Shared%20Documents/General/2023/Regulaci%C3%B3n/CREG%20905%20005/Documento_CREG_905_005_2023.pdf?csf=1&amp;web=1&amp;e=lI8A6x</t>
  </si>
  <si>
    <t>https://grupovanti.sharepoint.com/:x:/r/sites/GerenciadeRegulacin/Shared%20Documents/General/2023/Regulaci%C3%B3n/CREG%20905%20005/Comentarios%20agenda%20regulatoria%20indicativa%202024.xlsx?d=w8653fece5d3249999c1b773f429c23be&amp;csf=1&amp;web=1&amp;e=2mHtDD</t>
  </si>
  <si>
    <t>Comentarios Resolución</t>
  </si>
  <si>
    <t>https://grupovanti.sharepoint.com/sites/GerenciadeRegulacin/Shared%20Documents/General/2023/Regulación%202024/20_11_2023_Reversión_GRC2_Vanti_11_23/GRC2_VANTI_11_23_REVERSION.pdf</t>
  </si>
  <si>
    <t>Solicitud ampliación de plazo requerimiento de información tarifaria periodo septiembre 2023</t>
  </si>
  <si>
    <t>https://grupovanti.sharepoint.com/:b:/r/sites/GerenciadeRegulacin/Shared%20Documents/General/2023/Regulaci%C3%B3n/190_11_2023_Solicitud%20ampliaci%C3%B3n%20de%20plazo%20requerimiento%20de%20informaci%C3%B3n%20tarifaria%20periodo%20septiembre%202023/190-Ampliaci%C3%B3n%20de%20plazo%20verificaci%C3%B3n%20tarifaria%20septiembre%20de%202023.pdf?csf=1&amp;web=1&amp;e=IianGb</t>
  </si>
  <si>
    <t>Certificación de la prestación del servicio de gas combustible por redes de tubería para los meses de octubre y noviembre 2023 por parte de VANTI S.A. E.S.P.</t>
  </si>
  <si>
    <t>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Vanti.pdf?csf=1&amp;web=1&amp;e=3KpI8u</t>
  </si>
  <si>
    <t>https://grupovanti.sharepoint.com/:f:/r/sites/GerenciadeRegulacin/Shared%20Documents/General/2023/Regulaci%C3%B3n/MME/Certificaci%C3%B3n%20de%20la%20prestaci%C3%B3n%20del%20servicio%20de%20gas%20combustible%20por%20redes%20de%20tuber%C3%ADa%20para%20los%20meses%20de%20octubre%20y%20noviembre%202023?csf=1&amp;web=1&amp;e=ecEzZY</t>
  </si>
  <si>
    <t>Certificación de la prestación del servicio de gas combustible por redes de tubería para los meses de octubre y noviembre 2023 por parte de GAS NATURAL DEL CESAR S.A. E.S.P.</t>
  </si>
  <si>
    <t>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NCR.pdf?csf=1&amp;web=1&amp;e=LmDN2R</t>
  </si>
  <si>
    <t>Certificación de la prestación del servicio de gas combustible por redes de tubería para los meses de octubre y noviembre 2023 por parte de GAS NATURAL DEL ORIENTE S.A. E.S.P.</t>
  </si>
  <si>
    <t>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OR.pdf?csf=1&amp;web=1&amp;e=ehcZth</t>
  </si>
  <si>
    <t>Requerimiento de información tarifaria periodo septiembre 2023, copia de las facturas del pago de suministro y transporte de gas natural.</t>
  </si>
  <si>
    <t>https://grupovanti.sharepoint.com/:b:/r/sites/GerenciadeRegulacin/Shared%20Documents/General/2023/Regulaci%C3%B3n/189_11_2023_Requerimiento%20de%20informaci%C3%B3n%20tarifaria%20periodo%20septiembre%202023,%20copia%20de%20las%20facturas/20232314584451.pdf?csf=1&amp;web=1&amp;e=mwOw9M</t>
  </si>
  <si>
    <t>Respuesta radicado S2023005234. Información del plan de expansión en el
municipio de Barrancabermeja en el departamento de Santander</t>
  </si>
  <si>
    <t>https://grupovanti.sharepoint.com/:b:/r/sites/GerenciadeRegulacin/Shared%20Documents/General/2023/Regulaci%C3%B3n/180/Respuesta%20radicado%20CREG%20S2023005234%20Plan%20de%20expansi%C3%B3n%20Barrancabermeja.pdf?csf=1&amp;web=1&amp;e=ZLlUdT</t>
  </si>
  <si>
    <t xml:space="preserve">Visita integral PQRS , subcidios, ipli io </t>
  </si>
  <si>
    <t>https://grupovanti.sharepoint.com/sites/GerenciadeRegulacin/Shared%20Documents/General/2023/Regulación%202024/31_02_2024_Visita%20integral%20PQRS%20,%20subsidios,%20ipli%20io/Respuesta%20para%20la%20SSPD%20compromisos%20visita%20integral%20Vanti%202022_JR.pdf</t>
  </si>
  <si>
    <t>Respuesta del radicado SSPD No. 2023203231100006E NIFF VANTI</t>
  </si>
  <si>
    <t>https://grupovanti.sharepoint.com/sites/GerenciadeRegulacin/Shared%20Documents/General/2023/Regulación%202024/09_01_2024_Respuesta%20del%20radicado%20SSPD%20No.%202023203231100006E%20NIFF%20VANTI/Respuesta%20al%20requerimiento%20SSPD%2020242310301591%20Información%20incendios%20forestales%20GNCB%20(2).pdf</t>
  </si>
  <si>
    <t>https://grupovanti.sharepoint.com/sites/GerenciadeRegulacin/Shared%20Documents/General/2023/Regulación%202024/31_02_2024_Visita%20integral%20PQRS%20,%20subcidios,%20ipli%20io/Respuesta%20para%20la%20SSPD%20compromisos%20visita%20integral%20Vanti%202022_JR.pdf</t>
  </si>
  <si>
    <t>Solicitud ampliación plazo Auto de Pruebas 170 del 8 de noviembre de 2023</t>
  </si>
  <si>
    <t>https://grupovanti.sharepoint.com/:b:/r/sites/GerenciadeRegulacin/Shared%20Documents/General/2023/Regulaci%C3%B3n/188_11_2023_Solicitud%20ampliaci%C3%B3n%20plazo%20Auto%20de%20Pruebas%20170%20del%208%20de%20noviembre%20de%202023/Comunicaci%C3%B3n%20Vanti-Solicitud%20de%20ampliaci%C3%B3n%20plazo%20auto%20pruebas-16nov2023.pdf?csf=1&amp;web=1&amp;e=Oa1Zte</t>
  </si>
  <si>
    <t>https://grupovanti.sharepoint.com/:f:/r/sites/GerenciadeRegulacin/Shared%20Documents/General/2023/Regulaci%C3%B3n/188_11_2023_Solicitud%20ampliaci%C3%B3n%20plazo%20Auto%20de%20Pruebas%20170%20del%208%20de%20noviembre%20de%202023?csf=1&amp;web=1&amp;e=1fbWdw</t>
  </si>
  <si>
    <t>E2023019917</t>
  </si>
  <si>
    <t>CREG 050 Octubre GNCR</t>
  </si>
  <si>
    <t>https://grupovanti.sharepoint.com/:x:/r/sites/GerenciadeRegulacin/Shared%20Documents/General/2023/Regulaci%C3%B3n/181_11_2023_CREG%20050%20Octubre/Circular050-2021%20Anexo_Gasnacer%20SV%20(1).xlsx?d=w73b96bbde848447e84cfd8388f6d169d&amp;csf=1&amp;web=1&amp;e=4M8yhE</t>
  </si>
  <si>
    <t>https://grupovanti.sharepoint.com/:u:/r/sites/GerenciadeRegulacin/Shared%20Documents/General/2023/Regulaci%C3%B3n/181_11_2023_CREG%20050%20Octubre/RV_%20Resultado%20Radicaci%C3%B3n%20de%20Solicitud.eml?csf=1&amp;web=1&amp;e=fVADfk</t>
  </si>
  <si>
    <t>https://grupovanti.sharepoint.com/:f:/r/sites/GerenciadeRegulacin/Shared%20Documents/General/2023/Regulaci%C3%B3n/181_11_2023_CREG%20050%20Octubre?csf=1&amp;web=1&amp;e=deVXWQ</t>
  </si>
  <si>
    <t>: E2023019888</t>
  </si>
  <si>
    <t>CREG 050 Octubre GOR</t>
  </si>
  <si>
    <t>https://grupovanti.sharepoint.com/:x:/r/sites/GerenciadeRegulacin/Shared%20Documents/General/2023/Regulaci%C3%B3n/181_11_2023_CREG%20050%20Octubre/Circular050-2021%20Anexo_Barranca%20SV%20(1).xlsx?d=wbd0e8dc915814054b99c6555846f4730&amp;csf=1&amp;web=1&amp;e=bScfPo</t>
  </si>
  <si>
    <t>https://grupovanti.sharepoint.com/:u:/r/sites/GerenciadeRegulacin/Shared%20Documents/General/2023/Regulaci%C3%B3n/181_11_2023_CREG%20050%20Octubre/RV_%20Resultado%20Radicaci%C3%B3n%20de%20Solicitud%5B2%5D.eml?csf=1&amp;web=1&amp;e=m7IZlN</t>
  </si>
  <si>
    <t>E2023019887</t>
  </si>
  <si>
    <t>CREG 050 Octubre VANTI</t>
  </si>
  <si>
    <t>https://grupovanti.sharepoint.com/:x:/r/sites/GerenciadeRegulacin/Shared%20Documents/General/2023/Regulaci%C3%B3n/181_11_2023_CREG%20050%20Octubre/Circular050-2021%20Anexo_Vanti%20SV%20(1).xlsx?d=w6c21043247834b33a38ec4211d33a05b&amp;csf=1&amp;web=1&amp;e=hdUlzd</t>
  </si>
  <si>
    <t>https://grupovanti.sharepoint.com/:u:/r/sites/GerenciadeRegulacin/Shared%20Documents/General/2023/Regulaci%C3%B3n/181_11_2023_CREG%20050%20Octubre/RV_%20Resultado%20Radicaci%C3%B3n%20de%20Solicitud%5B1%5D.eml?csf=1&amp;web=1&amp;e=E1pMty</t>
  </si>
  <si>
    <t xml:space="preserve"> E2023019889</t>
  </si>
  <si>
    <t>Solicitud CREGAS - Empresas Reguladas/Reporte de Tarifas -</t>
  </si>
  <si>
    <t>https://grupovanti.sharepoint.com/:b:/r/sites/GerenciadeRegulacin/Shared%20Documents/General/2023/Regulaci%C3%B3n/185_11_2023_%20Solicitud%20CREGAS%20-%20Empresas%20ReguladasReporte%20de%20Tarifas%20-/185%20-%20Solicitud%20CREG%20problema%20portal%20web%20Grupo%20Vanti.pdf?csf=1&amp;web=1&amp;e=kvVS1F</t>
  </si>
  <si>
    <t>Visita de Inspección Técnica Radicado 20232313946831– Operativa a Gas Natural del Oriente S.A. ESP.</t>
  </si>
  <si>
    <t>https://grupovanti.sharepoint.com/:b:/r/sites/GerenciadeRegulacin/Shared%20Documents/General/2023/Regulaci%C3%B3n/186_11_2023_GOR_Visita%20de%20Inspecci%C3%B3n%20T%C3%A9cnica%20Radicado%2020232313946831%E2%80%93%20Operativa%20a%20Gas%20Natural%20del%20Oriente%20S.A.%20ESP/186%20Respuesta%20compromisos%20visita%20SSPD%20.pdf?csf=1&amp;web=1&amp;e=wRFSD2</t>
  </si>
  <si>
    <t>Requerimiento de Información sobre suministro de Gas Natural mes de octubre</t>
  </si>
  <si>
    <t>https://superservicios.correocertificado4-72.com.co/viewmessage.php?messageid=ide32a731c96da854ca50b12075ff3a71b8a9eddd47e0b161d2ae5a00118f3ab3e</t>
  </si>
  <si>
    <t>https://grupovanti.sharepoint.com/:b:/r/sites/GerenciadeRegulacin/Shared%20Documents/General/2023/Regulaci%C3%B3n/187_11_2023_Respuesta%20radicado%20SSPD%2020232314341021-Requerimiento%20de%20Informaci%C3%B3n%20sobre%20suministro%20de%20gas%20natural%20mes%20de%20octubre%20de%202023/187-Requerimiento%20de%20Informaci%C3%B3n%20sobre%20suministro%20de%20Gas%20Natural%20mes%20de%20octubre..pdf?csf=1&amp;web=1&amp;e=atUPX5</t>
  </si>
  <si>
    <t>Información estadistica</t>
  </si>
  <si>
    <t>Visita de Inspección Técnica – Operativa a Gas Natural del Oriente S.A. ESP.</t>
  </si>
  <si>
    <t>https://grupovanti.sharepoint.com/:w:/r/sites/GerenciadeRegulacin/Shared%20Documents/General/2023/Regulaci%C3%B3n/179_10_2023_Visita%20de%20Inspecci%C3%B3n%20T%C3%A9cnica%20%E2%80%93%20Operativa%20a%20Gas%20Natural%20del%20Oriente%20S.A/01%20Respuesta%20compromisos%20visita%20SSPD%202023-11-14%20(V2).docx?d=w39d17b3b568a4b0d88350e75ce6ffb94&amp;csf=1&amp;web=1&amp;e=FRewf5</t>
  </si>
  <si>
    <t>https://grupovanti.sharepoint.com/:f:/r/sites/GerenciadeRegulacin/Shared%20Documents/General/2023/Regulaci%C3%B3n/179_10_2023_Visita%20de%20Inspecci%C3%B3n%20T%C3%A9cnica%20%E2%80%93%20Operativa%20a%20Gas%20Natural%20del%20Oriente%20S.A?csf=1&amp;web=1&amp;e=QHElOq</t>
  </si>
  <si>
    <t>REQUERIMIENTO DE INFORMACIÓN DE CENTROS POBLADOS RURALES DE BOGOTÁ.</t>
  </si>
  <si>
    <t>https://grupovanti.sharepoint.com/:f:/r/sites/GerenciadeRegulacin/Shared%20Documents/General/2023/Regulaci%C3%B3n/182_11_2023_?csf=1&amp;web=1&amp;e=gpai6Q</t>
  </si>
  <si>
    <t>SSDP</t>
  </si>
  <si>
    <t>Requerimiento de Información sobre suministro de Gas Natural mes de octubre de 2023.</t>
  </si>
  <si>
    <t>https://grupovanti.sharepoint.com/:b:/r/sites/GerenciadeRegulacin/Shared%20Documents/General/2023/Regulaci%C3%B3n/184_11_2023_SSPD_Requerimiento%20de%20Informaci%C3%B3n%20sobre%20suministro%20de%20Gas%20Natural%20mes%20de%20octubre/20232314341021.pdf?csf=1&amp;web=1&amp;e=HHbRTO</t>
  </si>
  <si>
    <t>Visita de Inspección Técnica – Operativa a Gas Natural del Oriente S.A.
ESP.</t>
  </si>
  <si>
    <t>https://grupovanti.sharepoint.com/:b:/r/sites/GerenciadeRegulacin/Shared%20Documents/General/2023/Regulaci%C3%B3n/179_10_2023_Visita%20de%20Inspecci%C3%B3n%20T%C3%A9cnica%20%E2%80%93%20Operativa%20a%20Gas%20Natural%20del%20Oriente%20S.A/01%20Respuesta%20compromisos%20visita%20SSPD%202023-10-31%20Gasoriente.pdf?csf=1&amp;web=1&amp;e=4udhA8</t>
  </si>
  <si>
    <t>https://grupovanti.sharepoint.com/:f:/r/sites/GerenciadeRegulacin/Shared%20Documents/General/2023/Regulaci%C3%B3n/179_10_2023_Visita%20de%20Inspecci%C3%B3n%20T%C3%A9cnica%20%E2%80%93%20Operativa%20a%20Gas%20Natural%20del%20Oriente%20S.A?csf=1&amp;web=1&amp;e=pmohxy</t>
  </si>
  <si>
    <t>SOLICITUD DE BASE DE DATOS ESTRATIFICACION DE LOS PREDIOS ALCALDIA PIEDECUESTA</t>
  </si>
  <si>
    <t>https://gestordocumental.grupovanti.com/WebLinkCOR/DocView.aspx?id=69980835&amp;dbid=0&amp;repo=DocsVanti</t>
  </si>
  <si>
    <t>Requerimiento de información tarifaria periodo julio y agosto 2023 - Respuesta Radicado No. 20232313862531Requerimiento de información
tarifaria periodo julio y agosto 2023, copia de las facturas del pago de suministro y
transporte de gas natura</t>
  </si>
  <si>
    <t>https://grupovanti.sharepoint.com/:b:/r/sites/GerenciadeRegulacin/Shared%20Documents/General/2023/Regulaci%C3%B3n/178_10_2023_SSPD_Requerimiento%20de%20informaci%C3%B3n%20tarifaria%20periodo%20julio%20y%20agosto%202023/Requerimiento%2020232313862531%20de%20informaci%C3%B3n%20tarifaria%20periodo%20julio%20y%20agosto%202023.pdf?csf=1&amp;web=1&amp;e=Ti4ocv</t>
  </si>
  <si>
    <t>https://grupovanti.sharepoint.com/:f:/r/sites/GerenciadeRegulacin/Shared%20Documents/General/2023/Regulaci%C3%B3n/178_10_2023_SSPD_Requerimiento%20de%20informaci%C3%B3n%20tarifaria%20periodo%20julio%20y%20agosto%202023?csf=1&amp;web=1&amp;e=mpXHrv</t>
  </si>
  <si>
    <t>PROYECTO DE RESOLUCIÓN N° 705 004</t>
  </si>
  <si>
    <t xml:space="preserve">NO SE ENVIAN COMENTARIOS </t>
  </si>
  <si>
    <t>https://grupovanti.sharepoint.com/:b:/r/sites/GerenciadeRegulacin/Shared%20Documents/General/2023/Regulaci%C3%B3n/177_10_2023_CREG_Proyecto%20de%20resolucion%20705%20004/Proyecto_Resoluci%C3%B3n_CREG_705_004_2023.pdf?csf=1&amp;web=1&amp;e=53FEwU</t>
  </si>
  <si>
    <t>https://grupovanti.sharepoint.com/:f:/r/sites/GerenciadeRegulacin/Shared%20Documents/General/2023/Regulaci%C3%B3n/177_10_2023_CREG_Proyecto%20de%20resolucion%20705%20004?csf=1&amp;web=1&amp;e=sKMpl2</t>
  </si>
  <si>
    <t>Reporte trimestral de coberturas III Trimestre GNCR</t>
  </si>
  <si>
    <t>https://grupovanti.sharepoint.com/:u:/r/sites/GerenciadeRegulacin/Shared%20Documents/General/2023/Regulaci%C3%B3n/176_10_2023_COBERTURAS%20III%20TRIMESTRE%20GRUPO%20VANTI/REPORTE%20TRIMESTRAL%20DE%20COBERTURAS%20GAS%20COMBUSTIBLE%20POR%20REDES%20TRIMESTRE%20III%202023%20-%20GAS%20NATURAL%20DEL%20CESAR.eml?csf=1&amp;web=1&amp;e=xneul4</t>
  </si>
  <si>
    <t>Reporte trimestral de coberturas III Trimestre GOR</t>
  </si>
  <si>
    <t>https://grupovanti.sharepoint.com/:u:/r/sites/GerenciadeRegulacin/Shared%20Documents/General/2023/Regulaci%C3%B3n/176_10_2023_COBERTURAS%20III%20TRIMESTRE%20GRUPO%20VANTI/REPORTE%20TRIMESTRAL%20DE%20COBERTURAS%20GAS%20COMBUSTIBLE%20POR%20REDES%20TRIMESTRE%20III%202023%20-%20GAS%20NATURAL%20DEL%20ORIENTE.eml?csf=1&amp;web=1&amp;e=dymdaL</t>
  </si>
  <si>
    <t>Reporte trimestral de coberturas III Trimestre GNCB</t>
  </si>
  <si>
    <t>https://grupovanti.sharepoint.com/:u:/r/sites/GerenciadeRegulacin/Shared%20Documents/General/2023/Regulaci%C3%B3n/176_10_2023_COBERTURAS%20III%20TRIMESTRE%20GRUPO%20VANTI/REPORTE%20TRIMESTRAL%20DE%20COBERTURAS%20GAS%20COMBUSTIBLE%20POR%20REDES%20TRIMESTRE%20III%202023%20-%20GAS%20NATURAL%20CUNDIBOYACENSE.eml?csf=1&amp;web=1&amp;e=Tunv8W</t>
  </si>
  <si>
    <t xml:space="preserve">Reporte trimestral de coberturas III Trimestre Vanti </t>
  </si>
  <si>
    <t>https://grupovanti.sharepoint.com/:u:/r/sites/GerenciadeRegulacin/Shared%20Documents/General/2023/Regulaci%C3%B3n/176_10_2023_COBERTURAS%20III%20TRIMESTRE%20GRUPO%20VANTI/REPORTE%20TRIMESTRAL%20DE%20COBERTURAS%20GAS%20COMBUSTIBLE%20POR%20REDES%20TRIMESTRE%20III%202023%20-%20VANTI.eml?csf=1&amp;web=1&amp;e=7fUUtc</t>
  </si>
  <si>
    <t xml:space="preserve">SOLICITUD VILLA DE LEYVA </t>
  </si>
  <si>
    <t>https://grupovanti.sharepoint.com/:b:/r/sites/GerenciadeRegulacin/Shared%20Documents/General/2023/Regulaci%C3%B3n/SOLSINCON/VANTI%20SA.pdf?csf=1&amp;web=1&amp;e=Nq9kQ2</t>
  </si>
  <si>
    <t>CIRCULAR No. 073 de 2023- REPORTE DE INFORMACIÓN DE AOM PARA LA REGULACIÓN VIGENCIA 2022 VANTI</t>
  </si>
  <si>
    <t>https://grupovanti.sharepoint.com/:b:/r/sites/GerenciadeRegulacin/Shared%20Documents/General/2023/Regulaci%C3%B3n/170_10_2023_CREG_CIRCULAR%20No.%20073%20de%202023-%20REPORTE%20DE%20INFORMACI%C3%93N%20DE%20AOM%20PARA%20LA%20REGULACI%C3%93N%20VIGENCIA%202022%20VANTI/170%20-%20Respuesta%20Circular%20CREG%20073-2023%20AOM%20vigencia%202022_vanti.pdf?csf=1&amp;web=1&amp;e=ubgtgI</t>
  </si>
  <si>
    <t>https://grupovanti.sharepoint.com/:f:/r/sites/GerenciadeRegulacin/Shared%20Documents/General/2023/Regulaci%C3%B3n/170_10_2023_CREG_CIRCULAR%20No.%20073%20de%202023-%20REPORTE%20DE%20INFORMACI%C3%93N%20DE%20AOM%20PARA%20LA%20REGULACI%C3%93N%20VIGENCIA%202022%20VANTI?csf=1&amp;web=1&amp;e=kpxrCY</t>
  </si>
  <si>
    <t>CREG 073 2023</t>
  </si>
  <si>
    <t>E2023017964</t>
  </si>
  <si>
    <t>CIRCULAR No. 073 de 2023- REPORTE DE INFORMACIÓN DE AOM PARA LA REGULACIÓN VIGENCIA 2022 GNCB</t>
  </si>
  <si>
    <t>https://grupovanti.sharepoint.com/:b:/r/sites/GerenciadeRegulacin/Shared%20Documents/General/2023/Regulaci%C3%B3n/171_10_2023_CREG_CIRCULAR%20No.%20073%20de%202023-%20REPORTE%20DE%20INFORMACI%C3%93N%20DE%20AOM%20PARA%20LA%20REGULACI%C3%93N%20VIGENCIA%202022%20GNCB/171%20-%20Respuesta%20Circular%20CREG%20073-2023%20AOM%20vigencia%202022_cundi.pdf?csf=1&amp;web=1&amp;e=QEGrM5</t>
  </si>
  <si>
    <t>https://grupovanti.sharepoint.com/:f:/r/sites/GerenciadeRegulacin/Shared%20Documents/General/2023/Regulaci%C3%B3n/171_10_2023_CREG_CIRCULAR%20No.%20073%20de%202023-%20REPORTE%20DE%20INFORMACI%C3%93N%20DE%20AOM%20PARA%20LA%20REGULACI%C3%93N%20VIGENCIA%202022%20GNCB?csf=1&amp;web=1&amp;e=XZR1mo</t>
  </si>
  <si>
    <t>E2023017969</t>
  </si>
  <si>
    <t>CIRCULAR No. 073 de 2023- REPORTE DE INFORMACIÓN DE AOM PARA LA REGULACIÓN VIGENCIA 2022 GOR</t>
  </si>
  <si>
    <t>https://grupovanti.sharepoint.com/:b:/r/sites/GerenciadeRegulacin/Shared%20Documents/General/2023/Regulaci%C3%B3n/172_10_2023_CREG_CIRCULAR%20No.%20073%20de%202023-%20REPORTE%20DE%20INFORMACI%C3%93N%20DE%20AOM%20PARA%20LA%20REGULACI%C3%93N%20VIGENCIA%202022%20GOR/172-%20Respuesta%20Circular%20CREG%20073-2023%20AOM%20vigencia%202022_gasoriente.pdf?csf=1&amp;web=1&amp;e=p6A5Un</t>
  </si>
  <si>
    <t>https://grupovanti.sharepoint.com/:f:/r/sites/GerenciadeRegulacin/Shared%20Documents/General/2023/Regulaci%C3%B3n/172_10_2023_CREG_CIRCULAR%20No.%20073%20de%202023-%20REPORTE%20DE%20INFORMACI%C3%93N%20DE%20AOM%20PARA%20LA%20REGULACI%C3%93N%20VIGENCIA%202022%20GOR?csf=1&amp;web=1&amp;e=ZONW1u</t>
  </si>
  <si>
    <t>E2023017968</t>
  </si>
  <si>
    <t>CIRCULAR No. 073 de 2023- REPORTE DE INFORMACIÓN DE AOM PARA LA REGULACIÓN VIGENCIA 2022 GNCR</t>
  </si>
  <si>
    <t>https://grupovanti.sharepoint.com/:b:/r/sites/GerenciadeRegulacin/Shared%20Documents/General/2023/Regulaci%C3%B3n/173_10_2023_CREG_CIRCULAR%20No.%20073%20de%202023-%20REPORTE%20DE%20INFORMACI%C3%93N%20DE%20AOM%20PARA%20LA%20REGULACI%C3%93N%20VIGENCIA%202022%20GNCR/173%20-%20Respuesta%20Circular%20CREG%20073-2023%20AOM%20vigencia%202022_gasnacer.pdf?csf=1&amp;web=1&amp;e=32qCBr</t>
  </si>
  <si>
    <t>https://grupovanti.sharepoint.com/:f:/r/sites/GerenciadeRegulacin/Shared%20Documents/General/2023/Regulaci%C3%B3n/173_10_2023_CREG_CIRCULAR%20No.%20073%20de%202023-%20REPORTE%20DE%20INFORMACI%C3%93N%20DE%20AOM%20PARA%20LA%20REGULACI%C3%93N%20VIGENCIA%202022%20GNCR?csf=1&amp;web=1&amp;e=VPRXzS</t>
  </si>
  <si>
    <t>E2023017970</t>
  </si>
  <si>
    <t>PROYECTO DE RESOLUCIÓN No. 701-022</t>
  </si>
  <si>
    <t>https://grupovanti.sharepoint.com/:b:/r/sites/GerenciadeRegulacin/Shared%20Documents/General/2023/Regulaci%C3%B3n/166_09_2023_CREG_PROYECTO%20DE%20RESOLUCION%20No.701%20022/Proyecto_Resoluci%C3%B3n_CREG_701_022_2023.pdf?csf=1&amp;web=1&amp;e=WvqIe6</t>
  </si>
  <si>
    <t>PROYECTO DE RESOLUCIÓN No. 701-021</t>
  </si>
  <si>
    <t>https://grupovanti.sharepoint.com/:b:/r/sites/GerenciadeRegulacin/Shared%20Documents/General/2023/Regulaci%C3%B3n/165_09_2023_CREG_PROYECTO%20DE%20RESOLUCION%20No.701%20021/Proyecto_Resoluci%C3%B3n_CREG_701_021_2023.pdf?csf=1&amp;web=1&amp;e=bc8j7Q</t>
  </si>
  <si>
    <t>PROYECTO DE RESOLUCIÓN No. 701-020</t>
  </si>
  <si>
    <t>https://grupovanti.sharepoint.com/:b:/r/sites/GerenciadeRegulacin/Shared%20Documents/General/2023/Regulaci%C3%B3n/164_09_2023_CREG_PROYECTO%20DE%20RESOLUCION%20No.701%20020/Proyecto_Resoluci%C3%B3n_CREG_701_020_2023.pdf?csf=1&amp;web=1&amp;e=ETR5ro</t>
  </si>
  <si>
    <t>Remisión estudio de agregación de tramos de transporte</t>
  </si>
  <si>
    <t>https://grupovanti.sharepoint.com/:b:/r/sites/GerenciadeRegulacin/Shared%20Documents/General/2023/Regulaci%C3%B3n/163_09_2023_CREG_Remision%20estudio%20agregacion%20tramos%20de%20transporte/Remisi%C3%B3n%20estudio%20agregaci%C3%B3n%20de%20tramos_F.pdf?csf=1&amp;web=1&amp;e=1iEOKA</t>
  </si>
  <si>
    <t>https://grupovanti.sharepoint.com/:f:/r/sites/GerenciadeRegulacin/Shared%20Documents/General/2023/Regulaci%C3%B3n/163_09_2023_CREG_Remision%20estudio%20agregacion%20tramos%20de%20transporte?csf=1&amp;web=1&amp;e=yelYBW</t>
  </si>
  <si>
    <t>E2023016632</t>
  </si>
  <si>
    <t>Certificación de la prestación del servicio de gas combustible por redes de tubería para los meses de julio y agosto 2023 por parte de GOR S.A. E.S.P.</t>
  </si>
  <si>
    <t>https://grupovanti.sharepoint.com/:b:/r/sites/GerenciadeRegulacin/Shared%20Documents/General/2023/Regulaci%C3%B3n/158_09_2023_MME_Certificacion%20prestacion%20de%20servicio%20julio%20y%20agosto%20GRUPO%20VANTI/GOR/Comunicaci%C3%B3n%20MME%20-%20Certificacion%20prestacion%20de%20servicio%20julio%20y%20agosto%202023%20GOR.pdf?csf=1&amp;web=1&amp;e=oDmSBv</t>
  </si>
  <si>
    <t>https://grupovanti.sharepoint.com/:f:/r/sites/GerenciadeRegulacin/Shared%20Documents/General/2023/Regulaci%C3%B3n/158_09_2023_MME_Certificacion%20prestacion%20de%20servicio%20julio%20y%20agosto%20GRUPO%20VANTI?csf=1&amp;web=1&amp;e=WlqQhO</t>
  </si>
  <si>
    <t>Certificados</t>
  </si>
  <si>
    <t>1-2023-046262</t>
  </si>
  <si>
    <t>Certificación de la prestación del servicio de gas combustible por redes de tubería para los meses de julio y agosto 2023 por parte de GNCR S.A. E.S.P.</t>
  </si>
  <si>
    <t>https://grupovanti.sharepoint.com/:b:/r/sites/GerenciadeRegulacin/Shared%20Documents/General/2023/Regulaci%C3%B3n/158_09_2023_MME_Certificacion%20prestacion%20de%20servicio%20julio%20y%20agosto%20GRUPO%20VANTI/GNCR/Comunicaci%C3%B3n%20MME%20-%20Certificacion%20prestacion%20de%20servicio%20julio%20y%20agosto%202023%20GNCR.pdf?csf=1&amp;web=1&amp;e=bbKuaK</t>
  </si>
  <si>
    <t>Certificación de la prestación del servicio de gas combustible por redes de tubería para los meses de julio y agosto 2023 por parte de GNBC S.A. E.S.P.</t>
  </si>
  <si>
    <t>https://grupovanti.sharepoint.com/:b:/r/sites/GerenciadeRegulacin/Shared%20Documents/General/2023/Regulaci%C3%B3n/158_09_2023_MME_Certificacion%20prestacion%20de%20servicio%20julio%20y%20agosto%20GRUPO%20VANTI/GNCB/Comunicaci%C3%B3n%20MME%20-%20Certificacion%20prestacion%20de%20servicio%20julio%20y%20agosto%202023%20GNCB.pdf?csf=1&amp;web=1&amp;e=PEc2Fc</t>
  </si>
  <si>
    <t>Certificación de la prestación del servicio de gas combustible por redes de tubería para los meses de julio y agosto 2023 por parte de VANTI S.A. E.S.P.</t>
  </si>
  <si>
    <t>https://grupovanti.sharepoint.com/:b:/r/sites/GerenciadeRegulacin/Shared%20Documents/General/2023/Regulaci%C3%B3n/158_09_2023_MME_Certificacion%20prestacion%20de%20servicio%20julio%20y%20agosto%20GRUPO%20VANTI/VANTI/Comunicaci%C3%B3n%20MME%20-%20Certificacion%20prestacion%20de%20servicio%20julio%20y%20agosto%202023%20Vanti.pdf?csf=1&amp;web=1&amp;e=SHwbmq</t>
  </si>
  <si>
    <t>Certificación de Servicios Profesionales Cliente: VANTI S.A.</t>
  </si>
  <si>
    <t>https://grupovanti.sharepoint.com/:b:/r/sites/GerenciadeRegulacin/Shared%20Documents/General/2023/Regulaci%C3%B3n/162_09_2023_KPGM_VANTI/VANTI_KPMG_2022%20(4).pdf?csf=1&amp;web=1&amp;e=wx2pD9</t>
  </si>
  <si>
    <t>Certificación de Servicios Profesionales Cliente: Gas Natural Cundiboyacense S.A. E.S.P.</t>
  </si>
  <si>
    <t>https://grupovanti.sharepoint.com/:b:/r/sites/GerenciadeRegulacin/Shared%20Documents/General/2023/Regulaci%C3%B3n/159_09_2023_KPGM_GNCR/GNCR_KPMG_2022%20(2).pdf?csf=1&amp;web=1&amp;e=Rw79QA</t>
  </si>
  <si>
    <t>1-2023-046270</t>
  </si>
  <si>
    <t xml:space="preserve">Certificación de Servicios Profesionales Cliente: Gas Natural Del Cesar </t>
  </si>
  <si>
    <t>https://grupovanti.sharepoint.com/:b:/r/sites/GerenciadeRegulacin/Shared%20Documents/General/2023/Regulaci%C3%B3n/160_09_2023_KPGM_GNCB/GNCB_KPMG_2023.pdf?csf=1&amp;web=1&amp;e=G8AoYc</t>
  </si>
  <si>
    <t>1-2023-046268</t>
  </si>
  <si>
    <t>Certificación de Servicios Profesionales Cliente: Gas Natural del Oriente S.A. E.S.P.</t>
  </si>
  <si>
    <t>https://grupovanti.sharepoint.com/:b:/r/sites/GerenciadeRegulacin/Shared%20Documents/General/2023/Regulaci%C3%B3n/161_09_2023_KPGM_GOR/GOR_KPMG_2022%20(3).pdf?csf=1&amp;web=1&amp;e=VPtSyj</t>
  </si>
  <si>
    <t>1-2023-046264</t>
  </si>
  <si>
    <t>LINEAMIENTOS PARA EL REPORTE DE DATOS DEL SISTEMA DE GESTIÓN DE RIESGO DE LOS PRESTADORES DE LOS SERVICIOS PÚBLICOS DOMICILIARIOS DE ACUEDUCTO, ALCANTARILLADO, ASEO, ENERGÍA ELÉCTRICA Y GAS COMBUSTIBLE</t>
  </si>
  <si>
    <t>https://grupovanti.sharepoint.com/:b:/r/sites/GerenciadeRegulacin/Shared%20Documents/General/2023/Regulaci%C3%B3n/157_08_2023_SSPD_LINEAMIENTOS%20PARA%20EL%20REPORTE%20DE%20DATOS%20DEL%20SISTEMA%20DE%20GESTI%C3%93N%20DE%20RIESGO/20231503332601.pdf?csf=1&amp;web=1&amp;e=RuHshd</t>
  </si>
  <si>
    <t>https://grupovanti.sharepoint.com/:f:/r/sites/GerenciadeRegulacin/Shared%20Documents/General/2023/Regulaci%C3%B3n/157_08_2023_SSPD_LINEAMIENTOS%20PARA%20EL%20REPORTE%20DE%20DATOS%20DEL%20SISTEMA%20DE%20GESTI%C3%93N%20DE%20RIESGO?csf=1&amp;web=1&amp;e=BBAihd</t>
  </si>
  <si>
    <t>Circular 050 Vanti</t>
  </si>
  <si>
    <t>https://grupovanti.sharepoint.com/:u:/r/sites/GerenciadeRegulacin/Shared%20Documents/General/2023/Regulaci%C3%B3n/167_09_2023_CREG%20050/Reporte%20Circular%20CREG%20050%20de%20Vanti%20S.A%20ESP.eml?csf=1&amp;web=1&amp;e=rILyUx</t>
  </si>
  <si>
    <t>https://grupovanti.sharepoint.com/:f:/r/sites/GerenciadeRegulacin/Shared%20Documents/General/2023/Regulaci%C3%B3n/167_09_2023_CREG%20050?csf=1&amp;web=1&amp;e=Y9BcUk</t>
  </si>
  <si>
    <t>Circular 050 GOR</t>
  </si>
  <si>
    <t>https://grupovanti.sharepoint.com/:u:/r/sites/GerenciadeRegulacin/Shared%20Documents/General/2023/Regulaci%C3%B3n/167_09_2023_CREG%20050/Reporte%20Circular%20CREG%20050%20de%20Barrancabermeja.eml?csf=1&amp;web=1&amp;e=55P1Ze</t>
  </si>
  <si>
    <t>Circular 050 GNCR</t>
  </si>
  <si>
    <t>https://grupovanti.sharepoint.com/:u:/r/sites/GerenciadeRegulacin/Shared%20Documents/General/2023/Regulaci%C3%B3n/167_09_2023_CREG%20050/Reporte%20Circular%20CREG%20050%20de%20Gas%20Natural%20del%20Cesar%20S.A%20ESP.eml?csf=1&amp;web=1&amp;e=AXaD6d</t>
  </si>
  <si>
    <t>Solicitud expediente CREG 2020-0118</t>
  </si>
  <si>
    <t>https://grupovanti.sharepoint.com/:b:/r/sites/GerenciadeRegulacin/Shared%20Documents/General/2023/Regulaci%C3%B3n/153_09_2023_CREG_Solicitud%20expediente%202020-0118/Comunicaci%C3%B3n%20CREG%20-%20Solicitud%20de%20acceso%20expediente%20Vanti%20-%2004-09-2023.pdf?csf=1&amp;web=1&amp;e=BNemRl</t>
  </si>
  <si>
    <t>E2023016124</t>
  </si>
  <si>
    <t>Solicitud expediente 2020-0114</t>
  </si>
  <si>
    <t>https://grupovanti.sharepoint.com/:b:/r/sites/GerenciadeRegulacin/Shared%20Documents/General/2023/Regulaci%C3%B3n/154_09_2023_CREG_Solicitud%20acceso%20expediente%20GNCB/Comunicaci%C3%B3n%20CREG%20-%20Solicitud%20acceso%20expediente%20GNCB%20-%2004-09-2023.pdf?csf=1&amp;web=1&amp;e=i1QW3V</t>
  </si>
  <si>
    <t>E2023016125</t>
  </si>
  <si>
    <t>PROYECTO DE RESOLUCIÓN No. 701 019</t>
  </si>
  <si>
    <t>https://grupovanti.sharepoint.com/:b:/r/sites/GerenciadeRegulacin/Shared%20Documents/General/2023/Regulaci%C3%B3n/PROYECTO%20DE%20RESOLUCI%C3%93N%20No.%20701%20019/Proyecto_Resoluci%C3%B3n_CREG_701_019_2023%20(1).pdf?csf=1&amp;web=1&amp;e=juKjjx</t>
  </si>
  <si>
    <t xml:space="preserve">Aporte de dictamen pericial con intervención de perito experto para expediente tarifario CREG 2020-0118, Vanti S.A. E.S.P. </t>
  </si>
  <si>
    <t>https://grupovanti.sharepoint.com/:b:/r/sites/GerenciadeRegulacin/Shared%20Documents/General/2023/Regulaci%C3%B3n/149_08_2023_Dictamen%20pericial%20con%20intervenci%C3%B3n%20de%20perito%20experto%20para%20expediente/Comunicaci%C3%B3n%20Vanti%20-%20Dictamen%20pericial.pdf?csf=1&amp;web=1&amp;e=XLmYCx</t>
  </si>
  <si>
    <t>https://grupovanti.sharepoint.com/:f:/r/sites/GerenciadeRegulacin/Shared%20Documents/General/2023/Regulaci%C3%B3n/149_08_2023_Dictamen%20pericial%20con%20intervenci%C3%B3n%20de%20perito%20experto%20para%20expediente?csf=1&amp;web=1&amp;e=v9aQQd</t>
  </si>
  <si>
    <t>Activación de los usuarios plataforma SICOM GOR</t>
  </si>
  <si>
    <t>https://grupovanti.sharepoint.com/:b:/r/sites/GerenciadeRegulacin/Shared%20Documents/General/2023/Regulaci%C3%B3n/155_08_2024_SICOM_Activacion%20Usuarios/156_08_2023_SICOM_Activaci%C3%B3n%20de%20los%20usuarios%20plataforma%20SICOM%20GOR/156%20-%20Solicitud%20desbloqueo%20de%20usuarios%20SICOM_gor.pdf?csf=1&amp;web=1&amp;e=CmyRLQ</t>
  </si>
  <si>
    <t>Activación de los usuarios plataforma SICOM GNCR</t>
  </si>
  <si>
    <t>https://grupovanti.sharepoint.com/:b:/r/sites/GerenciadeRegulacin/Shared%20Documents/General/2023/Regulaci%C3%B3n/155_08_2024_SICOM_Activacion%20Usuarios/155_08_2023_SICOM_Activaci%C3%B3n%20de%20los%20usuarios%20plataforma%20SICOM%20GNCR/155%20-%20Solicitud%20desbloqueo%20de%20usuarios%20SICOM_gnc.pdf?csf=1&amp;web=1&amp;e=etzaJQ</t>
  </si>
  <si>
    <t>Activación de los usuarios plataforma SICOM GNCB</t>
  </si>
  <si>
    <t>https://grupovanti.sharepoint.com/:b:/r/sites/GerenciadeRegulacin/Shared%20Documents/General/2023/Regulaci%C3%B3n/155_08_2024_SICOM_Activacion%20Usuarios/154_08_2023_SICOM_Activaci%C3%B3n%20de%20los%20usuarios%20plataforma%20SICOM%20GNCB/154%20-%20Solicitud%20desbloqueo%20de%20usuarios%20SICOM_cundi.pdf?csf=1&amp;web=1&amp;e=P0hIw0</t>
  </si>
  <si>
    <t xml:space="preserve"> Respuesta requerimiento información Radicado No. 20232312759031: sobre los datos reportados de la infraestructura del sistema de distribución de gas combustible por redes, en el radicado SSPD No. 20225293578552.</t>
  </si>
  <si>
    <t>https://grupovanti.sharepoint.com/:b:/r/sites/GerenciadeRegulacin/Shared%20Documents/General/2023/Regulaci%C3%B3n/147_08_2023_Respuesta%20requerimiento%20informaci%C3%B3n%20Radicado%20No.%2020232312759031/147%20Respuesta%20a%20Radicado%20No.%2020232312759031%20SSDP%20VANTI_rev%20OM-JUR%20V1.pdf?csf=1&amp;web=1&amp;e=QdW5RR</t>
  </si>
  <si>
    <t>E2023015535</t>
  </si>
  <si>
    <t>MATERIALIZACION RIESGOS PROCESO COMERCIALIZACION DE GAS 2024-2025 CREG</t>
  </si>
  <si>
    <t>https://grupovanti.sharepoint.com/:b:/r/sites/GerenciadeRegulacin/Shared%20Documents/General/2023/Regulaci%C3%B3n/146_08_2023_MATERIALIZACION%20RIESGOS%20PROCESO%20COMERCIALIZACION%20DE%20GAS%202024-2025/20230822123711213.pdf?csf=1&amp;web=1&amp;e=ngrZZ1</t>
  </si>
  <si>
    <t>MATERIALIZACION RIESGOS PROCESO COMERCIALIZACION DE GAS 2024-2025 SSPD</t>
  </si>
  <si>
    <t>https://grupovanti.sharepoint.com/:b:/r/sites/GerenciadeRegulacin/Shared%20Documents/General/2023/Regulaci%C3%B3n/146_08_2023_/20230822123711213.pdf?csf=1&amp;web=1&amp;e=QVzujH</t>
  </si>
  <si>
    <t xml:space="preserve"> Respuesta Radicado No. 20232312961041. Ingresos por concepto de reconexión</t>
  </si>
  <si>
    <t>https://grupovanti.sharepoint.com/:b:/r/sites/GerenciadeRegulacin/Shared%20Documents/General/2023/Regulaci%C3%B3n/145_08_2023_%20Respuesta%20Radicado%20No.%2020232312961041.%20Ingresos%20por%20concepto%20de%20reconexi%C3%B3n/20232312961041_230817_085611%20(1).pdf?csf=1&amp;web=1&amp;e=JwmbAX</t>
  </si>
  <si>
    <t>https://grupovanti.sharepoint.com/:b:/r/sites/GerenciadeRegulacin/Shared%20Documents/General/2023/Regulaci%C3%B3n/145_08_2023_%20Respuesta%20Radicado%20No.%2020232312961041.%20Ingresos%20por%20concepto%20de%20reconexi%C3%B3n/145-Respuesta%20SSPD%20Radicado%2020232312961041.pdf?csf=1&amp;web=1&amp;e=08TIqK</t>
  </si>
  <si>
    <t>Requerimiento - Radicado SSPD No. 20235290452932</t>
  </si>
  <si>
    <t>https://grupovanti.sharepoint.com/:b:/r/sites/GerenciadeRegulacin/Shared%20Documents/General/2023/Regulaci%C3%B3n/142_08_2023_Requerimiento%20-%20Radicado%20SSPD%20No.%2020235290452932/142%20Respuesta%20a%20Radicado%20No.%2020232312758571%20SSDP%20GOR_rev%20OM-JUR%20V1.pdf?csf=1&amp;web=1&amp;e=TBaLLq</t>
  </si>
  <si>
    <t>https://grupovanti.sharepoint.com/sites/GerenciadeRegulacin/Shared%20Documents/Forms/AllItems.aspx?id=%2Fsites%2FGerenciadeRegulacin%2FShared%20Documents%2FGeneral%2F2023%2FRegulaci%C3%B3n%2F142%5F08%5F2023%5FRequerimiento%20%2D%20Radicado%20SSPD%20No%2E%2020235290452932%2F142%20Respuesta%20a%20Radicado%20No%2E%2020232312758571%20SSDP%20GOR%5Frev%20OM%2DJUR%20V1%2Epdf&amp;parent=%2Fsites%2FGerenciadeRegulacin%2FShared%20Documents%2FGeneral%2F2023%2FRegulaci%C3%B3n%2F142%5F08%5F2023%5FRequerimiento%20%2D%20Radicado%20SSPD%20No%2E%2020235290452932</t>
  </si>
  <si>
    <t>Respuesta al requerimiento con número de radicado S2023003706 del 15 de
agosto de 2023 – AUTO 0000103 del 2023.</t>
  </si>
  <si>
    <t>https://grupovanti.sharepoint.com/:b:/r/sites/GerenciadeRegulacin/Shared%20Documents/General/2023/Regulaci%C3%B3n/151_08_2023_Respuesta%20al%20requerimiento%20con%20n%C3%BAmero%20de%20radicado%20S2023003706%20del%2015%20de/Respuesta%20AUTO%20de%20pruebas%20103%20de%202023%20GNCB.pdf?csf=1&amp;web=1&amp;e=2MXKAx</t>
  </si>
  <si>
    <t>https://grupovanti.sharepoint.com/:b:/r/sites/GerenciadeRegulacin/Shared%20Documents/General/2023/Regulaci%C3%B3n/151_08_2023_Respuesta%20al%20requerimiento%20con%20n%C3%BAmero%20de%20radicado%20S2023003706%20del%2015%20de/Respuesta_al_requerimiento_con_Radicado_S2023003706_del_15_de_agosto_de_2023___AUTO_0000103_del_2023_1693579303305.pdf?csf=1&amp;web=1&amp;e=R2Yk6x</t>
  </si>
  <si>
    <t>E2023015784</t>
  </si>
  <si>
    <t>Comentarios Grupo Vanti a Circular Externa 056 de 2023 - UPME</t>
  </si>
  <si>
    <t>https://grupovanti.sharepoint.com/:x:/r/sites/GerenciadeRegulacin/_layouts/15/Doc.aspx?sourcedoc=%7BEE6581D8-B6FE-4F10-ACA1-A92173E841D8%7D&amp;file=Formulario_comentarios_Grupo%20Vanti_resolucion_FECFGN_Cir_056_2023%20(1).xlsx&amp;action=default&amp;mobileredirect=true</t>
  </si>
  <si>
    <t>FORMULARIO CREACION USUARIOS NATURGAS</t>
  </si>
  <si>
    <t>https://grupovanti.sharepoint.com/:f:/r/sites/GerenciadeRegulacin/Shared%20Documents/General/2023/Regulaci%C3%B3n/NATURGAS?csf=1&amp;web=1&amp;e=s1mYQP</t>
  </si>
  <si>
    <t>SOLICITUD PAGO CONTRIBUCIÓN SEGUNDO 50% - ESTRATIFICACIÓN TUNJA</t>
  </si>
  <si>
    <t>https://grupovanti.sharepoint.com/:f:/r/sites/GerenciadeRegulacin/Shared%20Documents/General/2023/Regulaci%C3%B3n/CONCURSO%20ECONOMICO%20TUNJA?csf=1&amp;web=1&amp;e=YipRSe</t>
  </si>
  <si>
    <t>Concurso Económico</t>
  </si>
  <si>
    <t xml:space="preserve"> Respuesta a las solicitudes del acta de la audiencia virtual realizada el 10 de julio de 2023</t>
  </si>
  <si>
    <t>https://grupovanti.sharepoint.com/:b:/r/sites/GerenciadeRegulacin/Shared%20Documents/General/2023/Regulaci%C3%B3n/144_08_2023_Respuesta%20a%20las%20solicitudes%20del%20acta%20de%20la%20audiencia%20virtual%20realizada%20el%2010%20de%20julio%20de%202023/Aclaracion%20Audiencia%20Otros%20Activos%20GNCB.pdf?csf=1&amp;web=1&amp;e=4Q4fzB</t>
  </si>
  <si>
    <t>https://grupovanti.sharepoint.com/:b:/r/sites/GerenciadeRegulacin/Shared%20Documents/General/2023/Regulaci%C3%B3n/144_08_2023_Respuesta%20a%20las%20solicitudes%20del%20acta%20de%20la%20audiencia%20virtual%20realizada%20el%2010%20de%20julio%20de%202023/Respuesta_a_las_solicitudes_del_acta_de_la_audiencia_virtual_realizada_el_10_de_julio_de_2023_1692193985172.pdf?csf=1&amp;web=1&amp;e=Plpxrd</t>
  </si>
  <si>
    <t>https://grupovanti.sharepoint.com/:f:/r/sites/GerenciadeRegulacin/Shared%20Documents/General/2023/Regulaci%C3%B3n/144_08_2023_Respuesta%20a%20las%20solicitudes%20del%20acta%20de%20la%20audiencia%20virtual%20realizada%20el%2010%20de%20julio%20de%202023?csf=1&amp;web=1&amp;e=pnM9Df</t>
  </si>
  <si>
    <t>E2023014970</t>
  </si>
  <si>
    <t>Respuesta a las solicitudes del acta de la audiencia realizada el 19 de julio de 2023</t>
  </si>
  <si>
    <t>https://grupovanti.sharepoint.com/:b:/r/sites/GerenciadeRegulacin/Shared%20Documents/General/2023/Regulaci%C3%B3n/141_08_2023_CREG_VANTI_Respuesta%20a%20las%20solicitudes%20del%20acta%20de%20la%20audiencia%20realizada%20el%2019%20de%20julio%20de%202023/Aclaracion%20Audiencia%20VANTI.pdf?csf=1&amp;web=1&amp;e=dA9v0p</t>
  </si>
  <si>
    <t>https://grupovanti.sharepoint.com/:b:/r/sites/GerenciadeRegulacin/Shared%20Documents/General/2023/Regulaci%C3%B3n/141_08_2023_CREG_VANTI_Respuesta%20a%20las%20solicitudes%20del%20acta%20de%20la%20audiencia%20realizada%20el%2019%20de%20julio%20de%202023/Respuesta_a_las_solicitudes_del_acta_de_la_audiencia_realizada_el_19_de_julio_de_2023_Vanti_16921939567.pdf?csf=1&amp;web=1&amp;e=cLkfh6</t>
  </si>
  <si>
    <t>https://grupovanti.sharepoint.com/:f:/r/sites/GerenciadeRegulacin/Shared%20Documents/General/2023/Regulaci%C3%B3n/141_08_2023_CREG_VANTI_Respuesta%20a%20las%20solicitudes%20del%20acta%20de%20la%20audiencia%20realizada%20el%2019%20de%20julio%20de%202023?csf=1&amp;web=1&amp;e=QLyhKZ</t>
  </si>
  <si>
    <t>E2023014968-E2023017471</t>
  </si>
  <si>
    <t>Comentarios Grupo Vanti a la Circular CREG 043 de 2023. Régimen de protección de los derechos de los usuarios de los servicios públicos domiciliarios - publicación documento AIN 1 y 2</t>
  </si>
  <si>
    <t>D:\Users\00082611\OneDrive - Vanti\Nuevo SUI\02. Seguimiento\CONSECUTIVOS\Regulación 2023\138_08_2023_MME_FondoSolidaridadValidaciónFSSRIGAS\Comentarios Circular CREG 043 DE 2023.pdf</t>
  </si>
  <si>
    <t>Solicitud de Grupo Vanti para ampliación de plazo para comentarios a la Resolución CREG 702 003 de 2023</t>
  </si>
  <si>
    <t>https://grupovanti.sharepoint.com/:b:/r/sites/GerenciadeRegulacin/Shared%20Documents/General/2023/Regulaci%C3%B3n/139_08_2023_SolicitudPlazo/Solicitud%20plazo.pdf?csf=1&amp;web=1&amp;e=lzLiwc</t>
  </si>
  <si>
    <t>https://grupovanti.sharepoint.com/sites/GerenciadeRegulacin/Shared%20Documents/Forms/AllItems.aspx?id=%2Fsites%2FGerenciadeRegulacin%2FShared%20Documents%2FGeneral%2F2023%2FRegulaci%C3%B3n%2F139%5F08%5F2023%5FSolicitudPlazo%2FSolicitud%20plazo%2Epdf&amp;parent=%2Fsites%2FGerenciadeRegulacin%2FShared%20Documents%2FGeneral%2F2023%2FRegulaci%C3%B3n%2F139%5F08%5F2023%5FSolicitudPlazo</t>
  </si>
  <si>
    <t>Requerimiento de información tarifaria periodo junio 2023, copia de las facturas del pago de suministro y transporte de gas natural.</t>
  </si>
  <si>
    <t>https://grupovanti.sharepoint.com/:w:/r/sites/GerenciadeRegulacin/Shared%20Documents/General/2023/Regulaci%C3%B3n/143_08_2023_Requerimiento%20de%20informaci%C3%B3n%20tarifaria%20periodo%20junio%202023,%20copia%20de%20las%20facturas/143-Respuesta%20SSPD%20Radicado%2020232312522141%20.docx?d=w76e111d006f949228d4f296c6e0e55b6&amp;csf=1&amp;web=1&amp;e=2dfgEy</t>
  </si>
  <si>
    <t>https://grupovanti.sharepoint.com/:f:/r/sites/GerenciadeRegulacin/Shared%20Documents/General/2023/Regulaci%C3%B3n/143_08_2023_Requerimiento%20de%20informaci%C3%B3n%20tarifaria%20periodo%20junio%202023,%20copia%20de%20las%20facturas?csf=1&amp;web=1&amp;e=cgQLNh</t>
  </si>
  <si>
    <t xml:space="preserve"> Comentarios Grupo Vanti al proyecto de Resolución 705 003 DE 2023: reglamento interno de la CREG</t>
  </si>
  <si>
    <t>https://grupovanti.sharepoint.com/:b:/r/sites/GerenciadeRegulacin/Shared%20Documents/General/2023/Regulaci%C3%B3n/148_08_2023_%20Comentarios%20Grupo%20Vanti%20al%20proyecto%20de%20Resoluci%C3%B3n%20705%20003%20DE%202023%20reglamento%20interno/Comentarios%20Resoluci%C3%B3n%20705%20003%20de%202023.pdf?csf=1&amp;web=1&amp;e=oxYJe6,</t>
  </si>
  <si>
    <t>https://grupovanti.sharepoint.com/sites/GerenciadeRegulacin/Shared%20Documents/Forms/AllItems.aspx?id=%2Fsites%2FGerenciadeRegulacin%2FShared%20Documents%2FGeneral%2F2023%2FRegulaci%C3%B3n%2F148%5F08%5F2023%5F%20Comentarios%20Grupo%20Vanti%20al%20proyecto%20de%20Resoluci%C3%B3n%20705%20003%20DE%202023%20reglamento%20interno%2FComentarios%20Resoluci%C3%B3n%20705%20003%20de%202023%2Epdf&amp;parent=%2Fsites%2FGerenciadeRegulacin%2FShared%20Documents%2FGeneral%2F2023%2FRegulaci%C3%B3n%2F148%5F08%5F2023%5F%20Comentarios%20Grupo%20Vanti%20al%20proyecto%20de%20Resoluci%C3%B3n%20705%20003%20DE%202023%20reglamento%20interno</t>
  </si>
  <si>
    <t xml:space="preserve"> Disponibilidad de servicio barrios Bucaramanga </t>
  </si>
  <si>
    <t>https://grupovanti.sharepoint.com/:b:/r/sites/GerenciadeRegulacin/Shared%20Documents/General/2023/Regulaci%C3%B3n/Disponibilidad%20de%20servicio%20barrios%20Bucaramanga/10841886_0.pdf?csf=1&amp;web=1&amp;e=p6SS2T</t>
  </si>
  <si>
    <t>https://grupovanti.sharepoint.com/sites/GerenciadeRegulacin/Shared%20Documents/Forms/AllItems.aspx?id=%2Fsites%2FGerenciadeRegulacin%2FShared%20Documents%2FGeneral%2F2023%2FRegulaci%C3%B3n%2FDisponibilidad%20de%20servicio%20barrios%20Bucaramanga%2F10841886%5F0%2Epdf&amp;parent=%2Fsites%2FGerenciadeRegulacin%2FShared%20Documents%2FGeneral%2F2023%2FRegulaci%C3%B3n%2FDisponibilidad%20de%20servicio%20barrios%20Bucaramanga</t>
  </si>
  <si>
    <t>https://grupovanti.sharepoint.com/sites/GerenciadeRegulacin/Shared%20Documents/General/2023/Regulación%202024/08_01_2024_Respuesta%20Radicado%20No.%2020242310119931%20Requerimiento%20de%20información%20tarifaria%20periodo%20noviembre%202023,%20copia%20de%20las%20facturas%20VANTI/Requerimiento%20verificación%20tarifaria%20Noviembre.xlsx</t>
  </si>
  <si>
    <t>Reporte Circular CREG 056 de 2023 – GRUPO VANTI</t>
  </si>
  <si>
    <t>https://grupovanti.sharepoint.com/:b:/r/sites/GerenciadeRegulacin/Shared%20Documents/General/2023/Regulaci%C3%B3n/133_07_2023_CREG_Reporte%20Costos%20Telemetria_E2023014207/Vanti%20Reporte%20circular%20CREG%20056%20de%202023.pdf?csf=1&amp;web=1&amp;e=WN3PTw</t>
  </si>
  <si>
    <t>https://grupovanti.sharepoint.com/:f:/r/sites/GerenciadeRegulacin/Shared%20Documents/General/2023/Regulaci%C3%B3n/133_08_2023_CREG_Reporte%20Costos%20Telemetria_E2023014207?csf=1&amp;web=1&amp;e=qs5EHP</t>
  </si>
  <si>
    <t>E2023014207</t>
  </si>
  <si>
    <t>Respuesta Radicado No. 20232312522141– Requerimiento de información tarifaria periodo mayo de 2023</t>
  </si>
  <si>
    <t>https://grupovanti.sharepoint.com/:b:/r/sites/GerenciadeRegulacin/Shared%20Documents/General/2023/Regulaci%C3%B3n/132_08_2023_SSPD_REQInfoTarifaria_20232312522141/Requerimiento%20verificaci%C3%B3n%20tarifaria%20mayo%2020232312522141_%20Vanti.pdf?csf=1&amp;web=1&amp;e=wKb3KQ</t>
  </si>
  <si>
    <t>https://grupovanti.sharepoint.com/:f:/r/sites/GerenciadeRegulacin/Shared%20Documents/General/2023/Regulaci%C3%B3n/132_08_2023_SSPD_REQInfoTarifaria_20232312522141?csf=1&amp;web=1&amp;e=DKNaE7</t>
  </si>
  <si>
    <t>Certificación de la prestación del servicio de gas combustible por redes de tubería para los meses de abril y mayo 2023 por parte de GAS NATURAL CUNDIBOYACENSE S.A. E.S.P.</t>
  </si>
  <si>
    <t>https://grupovanti.sharepoint.com/:b:/r/sites/GerenciadeRegulacin/Shared%20Documents/General/2023/Regulaci%C3%B3n/140_08_2023_MME_FondoSolidaridadValidaci%C3%B3nFSSRIGAS/Respuesta%2010954269%20-%200%20Contestaci%C3%B3n%20Radicado%20a%20citar%2020232312595511%20VANTI%20SSPD%20(V1).pdf?csf=1&amp;web=1&amp;e=bD4dKa</t>
  </si>
  <si>
    <t>https://grupovanti.sharepoint.com/:f:/r/sites/GerenciadeRegulacin/Shared%20Documents/General/2023/Regulaci%C3%B3n/140_08_2023_MME_FondoSolidaridadValidaci%C3%B3nFSSRIGAS?csf=1&amp;web=1&amp;e=jAYFsO</t>
  </si>
  <si>
    <t xml:space="preserve"> Respuesta Requerimiento de información Rad. No. 20232312595511 del 24 de julio de 2023.</t>
  </si>
  <si>
    <t>https://grupovanti.sharepoint.com/:b:/r/sites/GerenciadeRegulacin/Shared%20Documents/General/2023/Regulaci%C3%B3n/134_08_2023_SSPD_HONORABLES_SENADORES/VANTI/Respuesta%2010954269%20-%200%20Contestaci%C3%B3n%20Radicado%20a%20citar%2020232312595511%20VANTI%20SSPD%20(V1).pdf?csf=1&amp;web=1&amp;e=P688dL</t>
  </si>
  <si>
    <t>https://grupovanti.sharepoint.com/:f:/r/sites/GerenciadeRegulacin/Shared%20Documents/General/2023/Regulaci%C3%B3n/134_08_2023_SSPD_HONORABLES_SENADORES?csf=1&amp;web=1&amp;e=9bDPn4</t>
  </si>
  <si>
    <t xml:space="preserve"> Respuesta Requerimiento de información Rad. No. 20232312595591 del 24 de julio de 2023.</t>
  </si>
  <si>
    <t>https://grupovanti.sharepoint.com/:b:/r/sites/GerenciadeRegulacin/Shared%20Documents/General/2023/Regulaci%C3%B3n/134_08_2023_SSPD_HONORABLES_SENADORES/GNCR/Respuesta%2010831575%20-%200%20Contestaci%C3%B3n%20Radicado%20a%20citar%2020232312595591%20GNC%20SSPD%20(V3).pdf?csf=1&amp;web=1&amp;e=mYOQX5</t>
  </si>
  <si>
    <t>https://grupovanti.sharepoint.com/:f:/r/sites/GerenciadeRegulacin/Shared%20Documents/General/2023/Regulaci%C3%B3n/134_08_2023_SSPD_HONORABLES_SENADORES/GNCR?csf=1&amp;web=1&amp;e=ZwQAFl</t>
  </si>
  <si>
    <t xml:space="preserve"> Respuesta Requerimiento de información Rad. No. 20232312595781
del 24 de julio de 2023.</t>
  </si>
  <si>
    <t>https://grupovanti.sharepoint.com/:b:/r/sites/GerenciadeRegulacin/Shared%20Documents/General/2023/Regulaci%C3%B3n/134_08_2023_SSPD_HONORABLES_SENADORES/GOR/Respuesta%2010831315%20-%200%20Contestaci%C3%B3n%20Radicado%20a%20citar%2020232312595781%20GOR%20SSPD%20(V3).pdf?csf=1&amp;web=1&amp;e=VylzTA</t>
  </si>
  <si>
    <t>https://grupovanti.sharepoint.com/:f:/r/sites/GerenciadeRegulacin/Shared%20Documents/General/2023/Regulaci%C3%B3n/134_08_2023_SSPD_HONORABLES_SENADORES/GOR?csf=1&amp;web=1&amp;e=PgEU1t</t>
  </si>
  <si>
    <t xml:space="preserve"> Respuesta Requerimiento de información Rad. No. 20232312595711 
del 24 de julio de 2023.</t>
  </si>
  <si>
    <t>https://grupovanti.sharepoint.com/:b:/r/sites/GerenciadeRegulacin/Shared%20Documents/General/2023/Regulaci%C3%B3n/134_08_2023_SSPD_HONORABLES_SENADORES/GNCB/Respuesta%2010830107%20-%200%20Contestaci%C3%B3n%20Radicado%20a%20citar%2020232312595711%20GNCB%20SSPD%20(V3).pdf?csf=1&amp;web=1&amp;e=ZxWr96</t>
  </si>
  <si>
    <t>https://grupovanti.sharepoint.com/:f:/r/sites/GerenciadeRegulacin/Shared%20Documents/General/2023/Regulaci%C3%B3n/134_08_2023_SSPD_HONORABLES_SENADORES/GNCB?csf=1&amp;web=1&amp;e=zg86CY</t>
  </si>
  <si>
    <t>Comentarios al Plan Energético Nacional (PEN) 2022-2052.</t>
  </si>
  <si>
    <t>D:\Users\00082611\OneDrive - Vanti\Nuevo SUI\02. Seguimiento\CONSECUTIVOS\Regulación 2023\128_07_2023_Comentarios_Plan_Energético_Nacional_2022-2052\Comentarios al Plan Energético Nacional (PEN) 2022-2052.pdf</t>
  </si>
  <si>
    <t>Comentarios al proyecto de resolución SSPD por la cual se establece la tarifa para el año 2023 de la contribución especial de que trata el artículo 85 de la Ley 142 de 1994.</t>
  </si>
  <si>
    <t>D:\Users\00082611\OneDrive - Vanti\Nuevo SUI\02. Seguimiento\CONSECUTIVOS\Regulación 2023\127_PENDIENTE_FIRMA_07_2023_Comentarios_Res_tarifa_contribución_2023_Andesco</t>
  </si>
  <si>
    <t>Comentarios al proyecto de resolución "Por la cual se reglamenta el transporte por Oleoducto Multifásico y se dictan otras disposiciones"</t>
  </si>
  <si>
    <t>https://grupovanti.sharepoint.com/:b:/r/sites/GerenciadeRegulacin/Shared%20Documents/General/2023/Regulaci%C3%B3n/137_08_2023_MME_ComentariosRES/Vanti%20Oleoducto%20Multif%C3%A1sico.pdf?csf=1&amp;web=1&amp;e=zkkuTH</t>
  </si>
  <si>
    <t>Respuesta al requerimiento con número de radicado S2023002940 del 20 de junio de 2023 – AUTO 0000056 del 2023.</t>
  </si>
  <si>
    <t>https://grupovanti.sharepoint.com/:b:/r/sites/GerenciadeRegulacin/Shared%20Documents/General/2023/Regulaci%C3%B3n/129_07_2023_CREG_S2023002940-%20Respuesta%20AUTO%200000056/129%20-Respuesta%20AUTO%20de%20pruebas%20GNCB_F.pdf?csf=1&amp;web=1&amp;e=ow7EKk</t>
  </si>
  <si>
    <t>https://grupovanti.sharepoint.com/:f:/r/sites/GerenciadeRegulacin/Shared%20Documents/General/2023/Regulaci%C3%B3n/129_07_2023_CREG_S2023002940-%20Respuesta%20AUTO%200000056?csf=1&amp;web=1&amp;e=GmaKSI</t>
  </si>
  <si>
    <t>E2023013864</t>
  </si>
  <si>
    <t>Comentarios Grupo Vanti a la Resolución "Por la cual se establece la metodología para la elaboración de los estudios de costos que sirven de base para la fijación de las tarifas del servicio público de transporte terrestre automotor individual de pasajeros en vehículos taxi y se dictan otras disposiciones"</t>
  </si>
  <si>
    <t>D:\Users\00082611\OneDrive - Vanti\Nuevo SUI\02. Seguimiento\CONSECUTIVOS\Regulación 2023\126_07_2023_Comentarios_Grupo_Vanti_Resolución_fijacion_tarifas_Servicio_Publico</t>
  </si>
  <si>
    <t>Comentarios Grupo Vanti al Decreto " Por el cual se adiciona el Decreto 1068 de 2015 en relación con el mecanismo diferencial de estabilización de precios de la Gasolina Motor Corriente (GMC) y Aceite Combustible para Motores (ACPM) para grandes consumidores, y se modifica el Decreto 1073 de 2015 en cuanto al control y vigilancia de 
este mecanismo".</t>
  </si>
  <si>
    <t>https://grupovanti.sharepoint.com/:b:/r/sites/GerenciadeRegulacin/Shared%20Documents/General/2023/Regulaci%C3%B3n/131_07_2023_MME_Comentarios%20Modificacion%20Decreto/Decreto%20Mecanismo%20Diferencial%20de%20Estabilizacio%CC%81n%20de%20precios%20de%20la%20Gasolina%20Motor%20Corriente%20(GMC)%20y%20Aceite%20Combustible%20para%20Motores%20(ACPM).pdf?csf=1&amp;web=1&amp;e=dnaVwG</t>
  </si>
  <si>
    <t>Comunicación del Auto que da inicio a la actuación administrativa para la aprobación del cargo de Distribución y del Componente Fijo del Costo de Comercialización para el Mercado Relevante de Distribución conformado por el municipio de Santa Rosa del Sur en el departamento de Bolívar.</t>
  </si>
  <si>
    <t>https://grupovanti.sharepoint.com/:b:/r/sites/GerenciadeRegulacin/Shared%20Documents/General/2023/Regulaci%C3%B3n/136_08_2023_CREG_ComunicacionAuto_%20S2023003347/10784350%20-%200%20SP%20(1).pdf?csf=1&amp;web=1&amp;e=YkAI7K</t>
  </si>
  <si>
    <t>https://grupovanti.sharepoint.com/:f:/r/sites/GerenciadeRegulacin/Shared%20Documents/General/2023/Regulaci%C3%B3n/136_08_2023_CREG_ComunicacionAuto_%20S2023003347?csf=1&amp;web=1&amp;e=c2sBjF</t>
  </si>
  <si>
    <t xml:space="preserve">Comentarios al proyecto de resolución SSPD por la cual se establece la tarifa para el año 2023 de la contribución especial de que trata el artículo 85 de la Ley 142 de 1994. </t>
  </si>
  <si>
    <t>https://grupovanti.sharepoint.com/:b:/r/sites/GerenciadeRegulacin/Shared%20Documents/General/2023/Regulaci%C3%B3n/135_01_2023_SSPD_ComentariosTarifaCE10154500/135-08-2023%20Comentarios%20proyecto%20Resol.%20%20tarifa%20contribuci%C3%B3n%20especial%202023-%20SSPD.pdf?csf=1&amp;web=1&amp;e=muSNvz</t>
  </si>
  <si>
    <t>CONSEJO DE BOGOTÁ</t>
  </si>
  <si>
    <t>Derecho de Petición de Información de Organización Política declarada 
en oposición. Artículo 16 de la Ley 1909 de 2018.</t>
  </si>
  <si>
    <t>https://grupovanti.sharepoint.com/:b:/r/sites/GerenciadeRegulacin/Shared%20Documents/General/2023/Regulaci%C3%B3n/130_07_2023_CONSEJO%20BOGOTA_Respuesta%20derecho%20de%20peticion_/Respuesta%20Solicitud%20del%20consejo%20Bogot%C3%A1%2010%20de%20julio%20de%202023%20(004).pdf?csf=1&amp;web=1&amp;e=sRWomd</t>
  </si>
  <si>
    <t>https://grupovanti.sharepoint.com/:f:/r/sites/GerenciadeRegulacin/Shared%20Documents/General/2023/Regulaci%C3%B3n/130_07_2023_CONSEJO%20BOGOTA_Respuesta%20derecho%20de%20peticion_?csf=1&amp;web=1&amp;e=6eD4q0</t>
  </si>
  <si>
    <t xml:space="preserve">RV: SOLICITUD_Consejo de Bogota// Derecho de Petición de Información de Organización Política declarada en oposición. Artículo 16 de la Ley 1909 de 2018. </t>
  </si>
  <si>
    <t>Se recibe un correo que redirecciona un derecho de peticion adjunto a 32 folio "seguidilla del expediente" donde se soolicita reliquidar las facturas en los peridoos citados para la clienta.</t>
  </si>
  <si>
    <t>123_07_2023_S-2023-160092_GRUPO_VANTI_S.A._ESP</t>
  </si>
  <si>
    <t>123_07_2023_RE Requerimeinto rquerimiento (Seguidilla de respuestas)CERTIFICADO S-2023-160092</t>
  </si>
  <si>
    <t>RV: Notificacion electronica radicado salida No 20235002084641 // Recordatorio: Autorización para notificación electrónica de la contribución especial vigencia 2023.</t>
  </si>
  <si>
    <t>La SSPD  iniciará el proceso de liquidación, cobro y recaudo de la contribución especial vigencia 2023. Si autorizan la notificación electrónica, deben enviar información firmada por el representante legal al correo electrónico sspd@superservicios.gov.co con el asunto “Notificación personal por medio electrónico de la contribución especial vigencia 2023” en un plazo de 15 días.</t>
  </si>
  <si>
    <t>119_07_2023_SSPD VANTI_20235002084641 Autorización para notificación electrónica de la contribución (1)</t>
  </si>
  <si>
    <t>DENUNCIA CONSTRUCCIÓN ILEGAL // INSTALACIONES DE GAS FRAUDULENTAS  CARRERA 28 A # 75 A 56 LA AURORA</t>
  </si>
  <si>
    <t>Denuncia anonima sobre fraude en tuberias de GAS, problemas de ruido y polvo para la localidad 9 de BOGOTA</t>
  </si>
  <si>
    <t>120_07_2023_Denuncia Anonima_DENUNCIA CONSTRUCCIÓN ILEGAL</t>
  </si>
  <si>
    <t>Compromisos consignados en el acta de visita de Evaluación Integral - Vanti S.A. E.S.P.</t>
  </si>
  <si>
    <t>Se envía a la Superintendencia de Servicios Públicos Domiciliarios la información requerida relacionada a la Evaluación Integral 2022, realizada por esa entidad entre el 20 y el 26 de junio de 2023. La información se encuentra en un enlace de OneDrive y corresponde a los acuerdos llegagados durante la visita</t>
  </si>
  <si>
    <t>113_07_2023_ VANTI SSPD_ Evaluación integral SSPD - Respuesta a los compromisos_JR1</t>
  </si>
  <si>
    <t>Decreto de pruebas dentro del Trámite de Recurso de Reposición interpuesto por VANTI S.A. E.S.P. contra la Resolución CREG 502 014 de 2022</t>
  </si>
  <si>
    <t xml:space="preserve">1. Cita a representante legal a Audiencia Presencial el dia 10 de Julio de 2023.
2. Lista de requerimientos con 10 dias habiles para dar respuesta. 19/07/2023
RTA: 3. Se aprueba el aplazamiento para el dia (19 de JULIO)
</t>
  </si>
  <si>
    <t>115_07_2023_CREG VANTI_Auto_Pruebas_20230000064</t>
  </si>
  <si>
    <t>118_07_2023_S2023003244_Auto_Pruebas_20230000071</t>
  </si>
  <si>
    <t>115_07_2023_Solicitud tarifaria para la aprobación de cargos de distribución de gas S2023003085</t>
  </si>
  <si>
    <t>Cierre del informe de Auditoría Externa de Gestión y Resultados año 2022</t>
  </si>
  <si>
    <t>Informe de cierre de la auditoria externa de gestion y resultados para el año 2022 para el grupo VANTI (GN, GNCB, GNCR, GOR).</t>
  </si>
  <si>
    <t>117_07_2023_KPMG GRUPO VANTI_Cierre del informe de Auditoría Externa de Gestión y Resultados año 2022</t>
  </si>
  <si>
    <t>Ref. Solicitud reprogramación audiencia Vanti S.A. E.S.P.</t>
  </si>
  <si>
    <t xml:space="preserve">Se solicita la reprogramación de la audiencia prevista para el 10 de julio de 2023, decretada mediante Auto de Pruebas No. 0000064 de 4 de julio de 2023. La solicitud se basa en la necesidad de que se haya dado respuesta a las pruebas decretadas en el auto y que la Comisión de Regulación de Energía y Gas haya recibido y analizado los documentos aportados por Vanti y las Secretarías de Planeación de los municipios de Soacha y Sibaté. </t>
  </si>
  <si>
    <t>114_07_2023_VANTI CREG_Comunicación Vanti - Solicitud reprogramación audiencia - 06-07-2023</t>
  </si>
  <si>
    <t>114_07_2023_Solicitud_reprogramacion_audiencia_Vanti_S.A._E.S.P._1688739951632</t>
  </si>
  <si>
    <t>Acto administrativo de traslado dentro de la actuación administrativa del proceso por silencio administrativo positivo adelantada mediante radicado No. 20215291243222 del 01 de junio del 2021 Expediente No. 2021814390123998E.</t>
  </si>
  <si>
    <t>Caso que debe ser atendido por servicio al cliente y Maria del Pilar debido a un PQR del cliente Romero Alvarez</t>
  </si>
  <si>
    <t>116_07_2023_SSPD VANTI_20238002265641</t>
  </si>
  <si>
    <t>116_07_2023_SSPD VANTI_Notificacion electronica radicado salida No 20238002265641</t>
  </si>
  <si>
    <t>SEGUNDO REQUERIMIENTO - RECIBO OFICIAL DE PAGO Primer 50% pago contibucion para estratificación Tunja vigencia 2023</t>
  </si>
  <si>
    <t>Se reitera el requerimiento de pago del concurso economico correspondiente al primer aporte por el 50% de la contibucion economica requerida para los procesos de estratificacion necesarios.
Adjunta cuenta de cobro y hace la aclaracion de que no cuentan ya con los recursos necesarios. Solicita que se envie el comprobante de pago a atencionalciudadano@tunja.gov.co</t>
  </si>
  <si>
    <t>111_06_2023_Tunja Concurso economico_Estratificacion</t>
  </si>
  <si>
    <t>Radicado # S2023003052 // Decreto de pruebas dentro del Trámite de Recurso de Reposición interpuesto por GAS NATURAL CUNDIBOYACENSE S.A. E.S.P. contra la Resolución CREG 502 018 de 2022</t>
  </si>
  <si>
    <t>La Comisión, mediante Auto del 27 de junio 2023, resolvió  pruebas de oficio dentro del trámite del Recurso de
Reposición interpuesto por GAS NATURAL CUNDIBOYACENSE S.A. E.S.P. contra la
Resolución CREG 502 018 de 2022.</t>
  </si>
  <si>
    <t>112_06_2023_S2023003052</t>
  </si>
  <si>
    <t>https://grupovanti.sharepoint.com/:b:/r/sites/GerenciadeRegulacin/Shared%20Documents/General/2023/Regulaci%C3%B3n/Circular%20CREG%20050/15%20Agosto/Reporte_Circular_CREG_050_de_Barrancabermeja_1692193992133.pdf?csf=1&amp;web=1&amp;e=V9M1yI</t>
  </si>
  <si>
    <t>https://grupovanti.sharepoint.com/:f:/r/sites/GerenciadeRegulacin/Shared%20Documents/General/2023/Regulaci%C3%B3n/Circular%20CREG%20050/15%20Agosto?csf=1&amp;web=1&amp;e=7puGQk</t>
  </si>
  <si>
    <t xml:space="preserve">
E2023014971</t>
  </si>
  <si>
    <t>Reporte Circular CREG 050 de Gas Natural del Cesar S.A ESP</t>
  </si>
  <si>
    <t>https://grupovanti.sharepoint.com/:b:/r/sites/GerenciadeRegulacin/Shared%20Documents/General/2023/Regulaci%C3%B3n/Circular%20CREG%20050/15%20Agosto/Reporte_Circular_CREG_050_de_Gas_Natural_del_Cesar_S.A_ESP_1692193998813.pdf?csf=1&amp;web=1&amp;e=M1RYZm</t>
  </si>
  <si>
    <t>E2023014972</t>
  </si>
  <si>
    <t>Reporte Circular CREG 050 de Vanti S.A ESP</t>
  </si>
  <si>
    <t>https://grupovanti.sharepoint.com/:b:/r/sites/GerenciadeRegulacin/Shared%20Documents/General/2023/Regulaci%C3%B3n/Circular%20CREG%20050/15%20Agosto/Reporte_Circular_CREG_050_de_Vanti_S.A_ESP_16921940035.pdf?csf=1&amp;web=1&amp;e=Sopc0y</t>
  </si>
  <si>
    <t>E2023014973</t>
  </si>
  <si>
    <t xml:space="preserve"> Comentarios Grupo Vanti a la Resolución CREG 705 002 de 2023.</t>
  </si>
  <si>
    <t>https://grupovanti.sharepoint.com/:b:/r/sites/GerenciadeRegulacin/Shared%20Documents/General/2023/Regulaci%C3%B3n/Comentarios/Comentarios_sobre_la_Resolucion_CREG_705_002_de_2023___Grupo_Vanti_1689779945543.pdf?csf=1&amp;web=1&amp;e=tnwuFc</t>
  </si>
  <si>
    <t>https://grupovanti.sharepoint.com/:b:/r/sites/GerenciadeRegulacin/Shared%20Documents/General/2023/Regulaci%C3%B3n/Comentarios/Comentarios_Grupo_Vanti_a_la_Resolucion_CREG_705_002_de_2023_1689779981636.pdf?csf=1&amp;web=1&amp;e=eEfF1l</t>
  </si>
  <si>
    <t>E2023013612</t>
  </si>
  <si>
    <t>Comentarios Grupo Vanti a la Resolución CREG 705 002 de 2023</t>
  </si>
  <si>
    <t>https://grupovanti.sharepoint.com/:b:/r/sites/GerenciadeRegulacin/Shared%20Documents/General/2023/Regulaci%C3%B3n/Comentarios/Comentarios_Grupo_Vanti_a_la_Resolucion_CREG_705_002_de_2023_1689779981636.pdf?csf=1&amp;web=1&amp;e=ulfvnS</t>
  </si>
  <si>
    <t>E2023013618</t>
  </si>
  <si>
    <t>Problemas al reporte de tarifas - Empresas Reguladas/Reporte de Tarifas - VANTI SA ESP, Gases del Oriente SA ESP, Gasnacer SA ESP, y Gas Natural Cunbiboyasence SA ESP.</t>
  </si>
  <si>
    <t>La página web“cregas.creg.gov.co” para el reporte de información de tarifas reguladas de mayo de 2023 presenta error al cargue y dado que por esta circunstancia no es posible cargar el reporte de detalles de tarifas
en dicha página, sllicitamos información de los pasos a seguir para dar cumplimiento a nuestras obligaciones de notificar la información correspondiente a los mercados relevantes en los que las sociedades de Vanti SA ESP, Gases del Oriente SA ESP, Gasnacer SA
ESP, y Gas Natural Cunbiboyasence SA ESP prestan el servicio.</t>
  </si>
  <si>
    <t>108_06_2023_VANTI CREG_Falla de Mayo_Reporte Tarifas2</t>
  </si>
  <si>
    <t>Pte Asisitir a Reunion de TEAMS</t>
  </si>
  <si>
    <t>108_06_2023_AnexoRadicado_Problemas_al_reporte_de_tarifas___Empresas_Reguladas_Reporte_de_Tarifas___VANTI_SA_ESP__Gases_del_Or_1687442736722</t>
  </si>
  <si>
    <t>RV: RV: Radicado # S2023002940 ///  Decreto de pruebas dentro del Trámite de Recurso de Reposición
interpuesto por GAS NATURAL CUNDIBOYACENSE S.A. E.S.P. contra
la Resolución CREG 502 018 de 2022
Radicado CREG E-2023-001513
Expediente CREG 2020-0114</t>
  </si>
  <si>
    <t>RTA a recurso de reposicion, problemas al no adjuntar auto</t>
  </si>
  <si>
    <t>109_06_2023_Creg Vanti_S2023002940</t>
  </si>
  <si>
    <t>Cronograma de comercialización de gas natural Año 2023 - Circular 046 de 2023 ///  Cronograma de comercialización de gas natural Año 2023 - Circular 046 de 2023</t>
  </si>
  <si>
    <t xml:space="preserve"> Se solicita ampliar el plazo a un mínimo de un mes calendario ya que el periodo otorgado resulta corto para los productores. En los últimos tres años, los cronogramas han establecido plazos de más de un mes calendario.</t>
  </si>
  <si>
    <t>105_06_2023_VANTI_Comentarios Circular 046_20 Jun 2023</t>
  </si>
  <si>
    <t>105_06_2023_Anexo_certificado_Cronograma_de_comercializacion_de_gas_natural_Ano_2023___Circular_046_de_2023_1687365624627</t>
  </si>
  <si>
    <t>RV: CERTIFICADO S-2023-137807 // Traslado por competencia Traslado por competencia del radicado No.20235290200922 del
17/01/2023 // Traslado por Competencia Radicado EAAB E-2023-057273 
Radicado SSPD No.: 20238121975471 del 06/06/2023 
Ref.: Traslado por competencia del radicado SSPD 20235290200922 
del 17/01/2023 
Usuario: ZORAIDA TIJO PRIETO</t>
  </si>
  <si>
    <t>Zoraida Tijo Prieto está inconforme con el consumo facturado en su cuenta No 61499606 para el periodo Dic 2022-Ene 2023. El consumo se incrementó al doble de su valor habitual. Solicita que se revise el valor real y se ajuste para proceder con el pago. Tomó una foto del contador y la lectura es diferente a la facturada. Espera respuesta y solución en términos de la Ley 755 de 2015. //// El usuario tiene 5 días hábiles para interponer recursos después de la notificación. Si el prestador concede el recurso de apelación, debe remitir el expediente a la Superintendencia en 3 días. No es procedente cobrar valores en reclamación y no se puede suspender el servicio por no pago de estos valores. El prestador no debe exigir al usuario que solicite una certificación del estado del trámite del recurso de apelación. El prestador debe indicar al usuario los valores que deben cancelar y suministrar la factura provisional para evitar la suspensión del servicio.</t>
  </si>
  <si>
    <t>106_06_2023_SSPD VANTI_S-2023-137807_GRUPO_VANTI_S.A._ESP</t>
  </si>
  <si>
    <t>Publicación de información propuesta de agregación de tramos en el sistema de TGI</t>
  </si>
  <si>
    <t>Se solicita información complementaria para analizar el estudio presentado, incluyendo tarifas de transporte, inversión estimada, explicación detallada de la reducción del gas de Cusiana y supuestos de tarifas para el sistema de transporte de Promigas. Se pide una presentación o socialización del estudio y una ampliación del plazo para enviar comentarios. // Comentarios al documento de TGI S.A. E.S.P. de agregación de tramos</t>
  </si>
  <si>
    <t>98_06_2023_VANTI CREG_Solicitud estudio TGI</t>
  </si>
  <si>
    <t>103_06_2023_Anexo_Primeros Comentarios a estudio TGI</t>
  </si>
  <si>
    <t>RV: correo de la SSPD  // Requerimiento de información para Evaluación Integral de la anualidad 2022.</t>
  </si>
  <si>
    <t>Se realiza un requerimiento de multiples puntos, con fecha limite a reportar del 30 de Mayo, esto con intencion de realizar una visita la segunda semana de Juniopara "la evaluación integral de prestación del servicio para el año 2022". Se esta gestionando sobre el tiempo debido a que el area que recepciono nos notifico "Tarde" la información.</t>
  </si>
  <si>
    <t>97_06_2023_SSPD Vanti_20232311630251</t>
  </si>
  <si>
    <t>104_06_2023_Rta_Vanti Evaluación integral SSPD Radicado 20232311630251</t>
  </si>
  <si>
    <t>97_06_2023_Visita de Evaluacion Integral de la vigencia 2022_20232312038101</t>
  </si>
  <si>
    <t>RV: Notificacion electronica radicado salida No 20232311718731 // Requerimiento información sobre la construcción de la ERPC en el municipio de Tuta.
Radicados No. SSPD 20235291220952 y SSPD 20235291223742, ambas de fecha 29 de marzo
de 2023.</t>
  </si>
  <si>
    <t>La SSPD recibió comunicaciones de TGI aceptando la prórroga del Contrato CO&amp;M-08-20 y remitiendo a GASCUNDI el borrador del Otrosí No. 1 para su revisión. La DTGGC requiere a GASCUNDI para que aporte información sobre la construcción de la ERPC en Tuta-Boyacá y si su postergación afecta la prestación del servicio en ese municipio. //Remito Requerimiento información sobre la construcción de la ERPC en el municipio de Tuta. Radicados No. SSPD 20235291220952 y SSPD 20235291223742, ambas de fecha 29 de marzo de 2023</t>
  </si>
  <si>
    <t>96_06_2023_SSPD_Requerimiento_20232311718731</t>
  </si>
  <si>
    <t>96_06_2023_VANTI SSPD_RTA_10153620-1444-2023 Respuesta Radicado No 20232311718731 SSDP ERPC Tuta</t>
  </si>
  <si>
    <t>Comunicación Auto de pruebas en la actuación de cargos de transporte del
sistema de TGI conforme a la Res. CREG 175 de 2021</t>
  </si>
  <si>
    <t>se ordena realizar una auditoría a la información declarada por TGI S.A. E.S.P. en
relación con la Capacidad Máxima de Mediano Plazo (CMMP) y el gas de
empaquetamiento de los gasoductos operados por el transportador.</t>
  </si>
  <si>
    <t>95_06_2023_CREG_Comunicado_S2023002746</t>
  </si>
  <si>
    <t>95_06_2023_Auto_Pruebas CREG VANTI_20230000041_EXP_20220001</t>
  </si>
  <si>
    <t xml:space="preserve">S2023002746 </t>
  </si>
  <si>
    <t xml:space="preserve"> RV: Notificacion electronica radicado salida No 20238001884641  // Referencia: Requerimiento de información.
Radicado SSPD 20218001319712 del 4 de junio de 2021
Expediente No. 2021800420107972E</t>
  </si>
  <si>
    <t>Usuario presentó una solicitud de silencio administrativo positivo respecto a las peticiones radicadas en sede empresarial de la señora PATRICIA AGUIRRE GAITAN. Para establecer el mérito de la actuación administrativa, se solicita información y pruebas relacionadas con la petición y su respuesta.</t>
  </si>
  <si>
    <t>91_06_2023_SSPD_Vanti_20238001884641</t>
  </si>
  <si>
    <t>07/062023</t>
  </si>
  <si>
    <t>Información Resolución CREG 137 de 2013 Vigencia 2022 Vanti</t>
  </si>
  <si>
    <t>De conformidad con lo establecido en el literal C del artículo 5.1.1 de la Resolución CREG 137 de 2013, remitimos la información de consumos históricos diarios de los usuarios regulados del mercado relevante conformado por los municipios de Bogotá, Soacha y Sibaté, atendido por la empresa Vanti S.A. ESP para la vigencia 2022</t>
  </si>
  <si>
    <t>93_06_2023_Vanti_Creg_Informacion Resolucion CREG 137 de 2013</t>
  </si>
  <si>
    <t>93_06_2023_Anexo certificado_Informacion_Resolucion_CREG_137_de_2013_1686064733666</t>
  </si>
  <si>
    <t>Información Resolución CREG 137 de 2013 Vigencia 2022 GNCB</t>
  </si>
  <si>
    <t>De conformidad con lo establecido en el literal C del artículo 5.1.1 de la Resolución CREG 137 de 2013, remitimos la información de consumos históricos diarios de los usuarios regulados del mercado relevante conformado por los municipios de Boyacá, Cundinamarca y Santander, atendido por la empresa Gas Natural Cundiboyacense S.A. ESP para la vigencia 2022.</t>
  </si>
  <si>
    <t xml:space="preserve">94_06_2023_GNCB_CREG_Informacion Resolucion CREG 137 de 2013 </t>
  </si>
  <si>
    <t>94_06_2023_Anexo certificado_RV__Informacion_Resolucion_CREG_137_de_2013_1686064742271</t>
  </si>
  <si>
    <t xml:space="preserve">RV: Reiteración requerimiento para completar información. Radicado CREG S2023002686 // Reiteración requerimiento para completar información y documentos de la solicitud 
tarifaria para la distribución y comercialización de gas combustible por redes en el mercado 
relevante conformado por el municipio Santa Rosa del Sur en el departamento de Bolívar, 
presentada por la empresa GAS NATURAL DEL ORIENTE S.A. E.S.P. </t>
  </si>
  <si>
    <t>La Comisión de Regulación de Energía y Gas (CREG) solicitó a GAS NATURAL DEL ORIENTE S.A. E.S.P. que presentara ciertos documentos e información relacionados con su solicitud tarifaria. Se otorgó un plazo de cinco días hábiles para responder, pero la Comisión no ha recibido respuesta. Si el requerimiento no se cumple o se cumple de manera incompleta, se podrá decretar su desistimiento y el archivo de la solicitud.</t>
  </si>
  <si>
    <t>90_06_2023_Creg_Vanti_RtaRequerimiento_ S2023002686</t>
  </si>
  <si>
    <t>90_06_2023_Vanti_Creg_Reiteración RTA Radicado CREG S2023002686</t>
  </si>
  <si>
    <t>90_06_2023_Anexo CertificadoRV__Segunda_respuesta_Radicado_CREG_S2023002686___Reiteracion_requerimiento_para_completar_informaci_168606465214</t>
  </si>
  <si>
    <t>RV: Su comunicación con radicado CREG E2023006005. Solicitud Acceso expediente 2022 – 0063 CREG // Su comunicación con radicado CREG E2023006005. Solicitud Acceso
expediente 2022 – 0063</t>
  </si>
  <si>
    <t>La creg responde a comunicación con radicado CREG E2023006005. Solicitud Acceso
expediente 2022 – 0063 donde se solicita a Transmetano compartir informacion o dar una explicacion de las motivaciones para la confidencialidad de la información, siendo la CREG mediador, habilita una carpeta compartida llamada "2022-0063. Información Pública" que sera compartida con reportesregulacion@grupovanti.com y gsuarez@grupovanti.com</t>
  </si>
  <si>
    <t>87_05_2023_RTA CREG_10335212 - 0 SP</t>
  </si>
  <si>
    <t>87_05_2023_Anexo CREG_10335212  - 0 RE</t>
  </si>
  <si>
    <t xml:space="preserve">MINENERGIA: Registro radicado 2-2023-014838 // RPQ VANTI S.A ESP Validación definitiva FSSRI GAS 4-2022 </t>
  </si>
  <si>
    <t>Vanti solicita extemporaneidad en SISEG con el fin de validar y realizar los ajustes pertinentes a la conciliación correspondiente al 4-2022, a lo que el MME replica "Reiteramos que los subsidios solicitados por las empresas no podrán ser girados a los prestadores del servicio que no hayan cargado y certificado la información requerida por el Sistema Único de Información, SUI."</t>
  </si>
  <si>
    <t>85_05_2023_Comunicado a Vanti_20233102014838 (002)</t>
  </si>
  <si>
    <t>022-0065</t>
  </si>
  <si>
    <t>85_05_2023_Anexo_RV MINENERGIA Registro radicado 2-2023-014838</t>
  </si>
  <si>
    <t>Reporte de Prestación del Servicio de Gas Natural en el Municipio de Soacha **TICKET 10283596</t>
  </si>
  <si>
    <t>Requiere informacion detallada para atender la solicitud hecha en relacion a informacion de los punto 1 al 4 del documento para la ciudad de Soacha.</t>
  </si>
  <si>
    <t>81_05_2023_VANTI_10283596   - 0  SP</t>
  </si>
  <si>
    <t>81_05_2023_Correo de Escalamiento_RE URG_VIP 1 DÍA RV Reporte de Prestación del Servicio de Gas Natural en el Municipio de Soacha  TICKET 10283596</t>
  </si>
  <si>
    <t>Notificación electrónica radicado entrada No 20235291792862</t>
  </si>
  <si>
    <t xml:space="preserve"> Se ha cumplido con lo ordenado en una resolución y no proceden recursos de la vía gubernativa. Se adjunta copia de un acto administrativo./// SSPD da replica resolviendo que el sr JAVIER JOSE PLATA NUÑEZ mediante decisión No. 5305438 – 63295956
de fecha 15 de diciembre de 2021 tiene en su reclamacion valides.</t>
  </si>
  <si>
    <t>77_05_2023_Resuelve Recurso DP SSPD_20238400204385.pdf-2</t>
  </si>
  <si>
    <t>77_05_2023_Correo de Escalamiento_RV Notificación electrónica radicado entrada No 20235291792862</t>
  </si>
  <si>
    <t>77_05_2023_Anexo Caso RTA GOR DP_10134859 - 63295956</t>
  </si>
  <si>
    <t>Requerimientos Grupo Vanti - SSPD // Requerimiento de información Resolución CREG 033 de 2015</t>
  </si>
  <si>
    <t>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adjunto//Se hace una solicitud de ampliacion en los plazos de entrega (adjunto) // se radica con asunto "Notificación electrónica radicado entrada No 20235291789202"</t>
  </si>
  <si>
    <t>70_05_2023_SSPD GNCB_20232311641121</t>
  </si>
  <si>
    <t>83_05_2023_GNCB RTA_E_Requerimiento No  20232311641121 - GNCB</t>
  </si>
  <si>
    <t>70_05_2023_GNCB_Solicitud Ampliación Plazo Requerimiento de información – Resolución CREG 033 de 2015 20232311641121</t>
  </si>
  <si>
    <t>Requerimientos Grupo Vanti - SSPD // Requerimiento de información - Resolución CREG 033 de 2015</t>
  </si>
  <si>
    <t>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 //Se hace una solicitud de ampliacion en los plazos de entrega (adjunto) // se radica con asunto "Notificación electrónica radicado entrada No 20235291789292"</t>
  </si>
  <si>
    <t>69_05_2023_SSPD GOR__20232311640301</t>
  </si>
  <si>
    <t>84_05_2023_GOR RTA_Respuesta Radicado No. 20232311640301- GASORIENTE</t>
  </si>
  <si>
    <t>69_05_2023_GOR_Solicitud Ampliación Plazo Requerimiento de información – Resolución CREG 033 de 2015 20232311640301</t>
  </si>
  <si>
    <t>Requerimientos Grupo Vanti - SSPD//Requerimiento de información - Resolución CREG 033 de 2015</t>
  </si>
  <si>
    <t>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 // Se hace una solicitud de ampliacion en los plazos de entrega (adjunto)</t>
  </si>
  <si>
    <t>68_05_2023_SSPD VANTI_20232311639401</t>
  </si>
  <si>
    <t>82_05_2023_Requerimiento de información - Resolución CREG 033 de 2015 VANTI (003)</t>
  </si>
  <si>
    <t>68_05_2023_VANTI_Solicitud Ampliación Plazo Req 20232311639401</t>
  </si>
  <si>
    <t xml:space="preserve">Resolución reconocimiento del PP 1-2023 FSSRI GAS </t>
  </si>
  <si>
    <t>N/A Respuesta.
Por la cual se ordena el giro, para cubrir subsidios por
menores tarifas, a las empresas del sector gas combustible domiciliario por red,
correspondientes a pago parcial del primer trimestre de 2023</t>
  </si>
  <si>
    <t>67_05_2023_MME_100_Resol. 00420 del 12 de mayo de 2023 PP 1-2023</t>
  </si>
  <si>
    <t>67_05_2023_Anexo Hilo Correo_RV Resolución reconocimiento del PP 1-2023 FSSRI GAS</t>
  </si>
  <si>
    <t>MUNICIPIOS</t>
  </si>
  <si>
    <t>Fwd: Acta 15 y concurso económico</t>
  </si>
  <si>
    <t>acta 15, solicitud información para liquidación concurso económico.</t>
  </si>
  <si>
    <t>05_2023_Duitama_CONCURSO ECONOMICO</t>
  </si>
  <si>
    <t>05_2023_Anexo Concurso Economico_ACTA 15</t>
  </si>
  <si>
    <t>SOLICITUD PROCEDIMIENTO PARA EL MANEJO DE TITULOS NO LISTADOS EN EL RNVE</t>
  </si>
  <si>
    <t xml:space="preserve">Valores Bancolombia S.A. Comisionista de Bolsa celebra un contrato de administración de valores con sus clientes para ordenar operaciones en el Registro Nacional de Valores y Emisores (RNVE). La realización de operaciones sobre títulos cuya inscripción en el RNVE haya sido cancelada no es una práctica autorizada legalmente. Se requiere la entrega de GAS NATURAL S.A. E.S.P. TITULOS DE RV NO LISTADOS al cliente o al emisor y solicita puntos (Consultar Hipervinculo)
</t>
  </si>
  <si>
    <t>65_05_2023_BANCOLOMBIA_GAS NATURAL S.A.  E.S.P</t>
  </si>
  <si>
    <t>https://grupovanti.sharepoint.com/:u:/r/sites/GerenciadeRegulacin/Shared%20Documents/General/2023/Regulaci%C3%B3n/66_05_2023_BANCOLOMBIA_GAS%20NATURAL%20S.A.%20%20E.S.P/66_05_2023_RE%20SOLICITUD%20PROCEDIMIENTO%20PARA%20EL%20MANEJO%20DE%20TITULOS%20NO%20LISTADOS%20EN%20EL%20RNVE.msg?csf=1&amp;web=1&amp;e=fIf9rT</t>
  </si>
  <si>
    <t>66_05_2023_REENVIO_RV SOLICITUD PROCEDIMIENTO PARA EL MANEJO DE TITULOS NO LISTADOS EN EL RNVE</t>
  </si>
  <si>
    <t>Verificación de información relacionada con el incidente atendido con la cuenta contrato 63436377 de la empresa Gas Natural del Oriente S.A E.S.P. // Certificado | Gas Natural del Oriente | Verificación información | Auditor Externo | Incidente | Barrancabermeja</t>
  </si>
  <si>
    <t>certificar que la información del reporte relacionado con el incidente del usuario MARÍA DE LAS NIEVES GÓMEZ MAYORIANO,con número de contrato 63436377 presentado el 9 de mayo de 2023 en el inmueble ubicado en calle 60B No 36E 23 en la ciudad de Barrancabermeja, Santander, ha sido debidamente verificado y no se encontraron desviaciones en la información allí contenida.</t>
  </si>
  <si>
    <t>76_05_2023_Certificación de incidentes Gas Natural del Oriente</t>
  </si>
  <si>
    <t>Pago de Transferencias Servicios de Estratificación</t>
  </si>
  <si>
    <t>D:\Users\00082611\OneDrive - Vanti\Nuevo SUI\02. Seguimiento\CONSECUTIVOS\Regulación 2023\78_05_2023_Alcaldia Bucaramanga_01823CR0003586\78_05_2023_Alcaldia Bucaramanga_01823CR0003586.pdf</t>
  </si>
  <si>
    <t>SOLICITUD CREGAS - Empresas Reguladas/Reporte de Tarifas - VANTI SA ESP, Gases del Oriente SA ESP, Gasnacer SA ESP, y Gas Natural Cunbiboyasence SA ESP.</t>
  </si>
  <si>
    <t xml:space="preserve">https://grupovanti.sharepoint.com/sites/GerenciadeRegulacin/Shared%20Documents/Forms/AllItems.aspx?id=%2Fsites%2FGerenciadeRegulacin%2FShared%20Documents%2F1%2E%20Estrategia%2FDashboards&amp;p=true&amp;ct=1702914696511&amp;or=OWA%2DNT&amp;cid=e053df73%2D38b7%2D0a32%2Dc5a6%2D4735fd266c4a&amp;fromShare=true&amp;ga=1 </t>
  </si>
  <si>
    <t>VANTI S.A. ESP y sus empresas filiales se dirigen a la CREG para informar que debido a la situación en la página web de la CREG, donde están en proceso de restablecer los servicios de “cregas.creg.co” para el reporte de información, no es posible cargar el reporte de detalles de tarifas y rangos. Solicitan información sobre los pasos a seguir para cumplir con sus obligaciones de notificar la información correspondiente a los mercados relevantes en los que prestan el servicio.
VANTI S.A. ESP y sus empresas filiales se dirigen a la CREG para informar que debido a la situación en la página web de la CREG, donde están en proceso de restablecer los servicios de "cregas.creg.co" para el reporte de información, no es posible cargar el reporte de detalles de tarifas y rangos. se solicita información sobre los pasos a seguir para cumplir con sus obligaciones de reportar la información correspondiente a los mercados relevantes.</t>
  </si>
  <si>
    <t>80_05_2023_CREG_Mantenimiento_Reporte Tarifas</t>
  </si>
  <si>
    <t>TRASLADO comunicación. Radicado CREG S2023002445 // Traslado por competencia E-2023-004464
Radicado CREG: E-2023-004464</t>
  </si>
  <si>
    <t>Creg realiza traslado por competencias, del DP 
1fist/ Bogotá, D.C., 30 de Noviembre de 2022
Asunto : Documento de hallazgo - Gas consumido dejado de facturar 8725230 – 60143583
Ticket : 8725230
Cuenta contrato : 60143583
Se comunica (Hallazgos 8725230 – 60143583 del 30 de Noviembre de 2022)
2nd/ Bogotá, D.C., 17 de febrero de 2023
Asunto : Documento de Facturación Hallazgo No. 9430598 – 60143583
Ticket : 9430598 de fecha 13 de febrero del 2023
Cuenta Contrato : 60143583
Se presenta el debido proceso como el cambio de la unidad y cobro de unidades no registradas, da espacio a replica.
3rd/Bojacá, marzo 9 d e2023.
Da respuesta, brinda descargos y controvertir las aseveraciones realizadas en el oficio de la referencia Documento de Hallazgos 8725230 – 60143583</t>
  </si>
  <si>
    <t>63_05_2023_CREG_S2023002445</t>
  </si>
  <si>
    <t>63_05_2023_RE TRASLADO comunicación. Radicado CREG S2023002445</t>
  </si>
  <si>
    <t>63_05_2023_Anexos_Traslado Comunicación Radicado CREG S2023002445</t>
  </si>
  <si>
    <t>Radicado SSPD No. 20235290729412 del 21 de febrero de 2023</t>
  </si>
  <si>
    <t>Respuesta a una comunicación de  Giovanni  en la que relacionó diferentes incidentes que impidieron el reporte de la información al Sistema Único de Información – SUI, segun Resolución No. SSPD 20221000665435 del 18 de julio de 2022.
Informa que las Mesas de ayuda registradas por Gas Natural del Cesar, fueron contestadas por el Grupo SUI para el Sector de Energía 
Agrega que los formatos relacionados de las  mesas de ayuda, ya se encuentran certificados.</t>
  </si>
  <si>
    <t>62_05_2023_RV Notificacion electronica radicado salida No 20232031468021</t>
  </si>
  <si>
    <t>62_05_2023_RTA_20232031468021</t>
  </si>
  <si>
    <t>62_05_2023_20232031468021</t>
  </si>
  <si>
    <t>Requerimiento de información AEGR grupo Vanti 2.25</t>
  </si>
  <si>
    <t>KPMG en su funcion de auditor externo, realiza el requerimiento sobre las mesas de ayuda relacionadas en excel.
Se da respuesta y vincula hilo de correos y pantallazos que soportan con informacion desde 9 de Julio de 2022</t>
  </si>
  <si>
    <t>64_05_2023_KPMG_Mesas de Ayuda Requerimiento</t>
  </si>
  <si>
    <t>64_05_2023_RTA_RV Requerimiento de información AEGR grupo Vanti 2.25</t>
  </si>
  <si>
    <t>Citación para notificar la Resolución CREG 502 035 de 2022 S2023002389 // Citación para notificar la Resolución CREG 502 035 de 2022 “Por la cual se
resuelven los recursos de reposición interpuestos por las empresas TGI S.A. E.S.P. y
VANTI S.A. E.S.P. contra la Resolución CREG 502 024 de 2022”</t>
  </si>
  <si>
    <t>La notificación se realizará personalmente al representante legal o apoderado de la empresa VANTI S.A. E.S.P.
Diez (10) días hábiles</t>
  </si>
  <si>
    <t>61_05_2023_CREG_S2023002389</t>
  </si>
  <si>
    <t>Solicitud de Informacion // Escalamiento ticket 10085791</t>
  </si>
  <si>
    <t>Requerimiento Personería Municipal de Chía, en el cual requiere concepto técnico o de información sobre el COBRO SERVICIOS PUBLICOS, como también la metodología realizada para el cobro de las tarifas de consumo. Además, solicita la metodología para realizar las mediciones.</t>
  </si>
  <si>
    <t>60_05_2023_10085791 - 0 SP</t>
  </si>
  <si>
    <t>60_05_2023_Rta Vanti_10085791-0</t>
  </si>
  <si>
    <t>60_05_2023_Evidencia Envio_10085791-0</t>
  </si>
  <si>
    <t>Encuesta para la identificación y confirmación de necesidades de información estadística asociada al servicio público Domiciliario de Gas Combustible por Redes.Energía Eléctrica y Gas Combustible por RedesEnergía Eléctrica y Gas Combustible por Redes</t>
  </si>
  <si>
    <t>La SSPD conforme a los requisitos de la Norma Técnica Colombiana - NTC PE 1000:2020, expedida por el DANE, diseñó y publicó la encuesta para la vigencia 2023, con el objetivo de identificar y confirmar las necesidades de los usuarios de la información estadística del servicio público domiciliario de Gas Combustible por Redes. Con su aporte diligenciando la encuesta, contribuye a la mejora de nuestras funciones como entidad en la planificación y toma de decisiones frente al flujo de información de la operación estadística, en términos de recursos, estructura y organización</t>
  </si>
  <si>
    <t>RV Encuesta para la identificación y confirmación de necesidades de información estadística asociada al servicio público Domiciliario de Gas Combustible por Redes</t>
  </si>
  <si>
    <t>Por la cual se ordena el giro, para cubrir subsidios por menores tarifas, a las empresas del sector gas combustible domiciliario por red, correspondientes al saldo restante de los trimestres comprendidos entre el segundo trimestre de 2017 y el tercer trimestre de 2022</t>
  </si>
  <si>
    <t>Se asigna saldos restantes por concepto de giro para cubrir subsidios por tarifas a personas de menos recursos para años 2017 - 2022 (trimestres correspondientes)</t>
  </si>
  <si>
    <t>56_04_2023_MME_AsignacionSubsidios _Resol. 000346 del 21 de abril de 2023 PS 3-2022</t>
  </si>
  <si>
    <t>Respuesta al requerimiento de información radicado 20232311184221</t>
  </si>
  <si>
    <t>Solicitud de información sobre un evento que afectó el servicio a los clientes del municipio de Soacha y Sibaté el 23 de marzo de 2023. *No se proporciona información sobre si la empresa realizará compensaciones.</t>
  </si>
  <si>
    <t>58_05_2023_RTA_031- Respuesta requerimiento de información 20232311184221</t>
  </si>
  <si>
    <t>58_05_2023_Anexos_Requerimiento de información 20232311184221</t>
  </si>
  <si>
    <t>Requerimientos Radicados SSPD No. 20235290634212 y 20235290740212</t>
  </si>
  <si>
    <t>Preguntas relacionadas a los puntos 11 y 61 contenidos en el derecho de peticion e informacion adicional con anexos</t>
  </si>
  <si>
    <t>35_04_2023_userFile1682615443683</t>
  </si>
  <si>
    <t>35_04_2023_ - Respuesta requerimiento a la SSPD 20232311249921</t>
  </si>
  <si>
    <t>PQRS PENDIENTES AL 13-04-23 // TICKET 9896762 MAL RADICADO ---// Requerimiento de informacion por evento presentado en punto de entrada Caramelo del Sistema Nacional de Transporte - SNT</t>
  </si>
  <si>
    <t>La gestion de esta respuesta se ha prolongado a hoy 18 dias,  y atendiendo el hilo del correo se reconoce la estructura para la respuesta que debe darse. Solicitan ubicando en copia del correo a nuestrta AREA.</t>
  </si>
  <si>
    <t>55_04_2023_VANTI_9896762 - 01523CR0004838</t>
  </si>
  <si>
    <t>55_04_2023_Rta_VANTI_Respuesta requerimiento SSPD - 28-04-2023</t>
  </si>
  <si>
    <t>Traslado derecho de petición respecto de la situación de desastre
ambiental, vial y social frente al grave riesgo por falta de acceso a los
servicios públicos de manera real y efectiva y el cobro ilegal en la comuna
4 y sus barrios entre ellos robles, valcanes y demás barrios que la
conforman.
Radicado CREG E2023002217 
Expediente CREG General N/A</t>
  </si>
  <si>
    <t>Solicitud del señor MANUEL RODRÍGUEZ con correo:
veeduriatransparenciacolombia@gmail.com, del municipio de Soacha en la cual solicita
respuestas a algunas preguntas que son de su conocimiento sobre el servicio público
domiciliario de gas natural que se presta en el municipio de Soacha, más
específicamente en la comuna 4 en los barrios Robles, Valcanes y demás barrios que la
conforman, específicamente lo que concierne a las preguntas 4, 11, 19, 22 y 23 del
cuestionario que reposa en nuestro radicado CREG E2023002217,S2023001721</t>
  </si>
  <si>
    <t>35_04_2023_CREG _ Comuna 4 Soacha S2023001721</t>
  </si>
  <si>
    <t>45_04_2023_Respuesta DP VANTI 9715042-0 Derecho de Petición CREG E2023002217 (V_28 marzo)</t>
  </si>
  <si>
    <t>MINENERGIA: Registro radicado 2-2023-009960 // RDP 1-2023-017219 a GNCBY Tarifas Zipaquirá</t>
  </si>
  <si>
    <t>Nelly Calderón presentó una petición al Ministerio de Minas y Energía con radicado minenergia 1-2023-017219 del 06 de abril de 2023, mediante la cual plantea algunas inquietudes relacionadas con el incremento en la tarifa mensual por metro cúbico de gas en el estrato 3, cobrado por la empresa Gas Natural Cundiboyacense S.A ESP en el municipio de Zipaquirá – Cundinamarca. El Ministerio de Minas y Energía trasladó la petición a la empresa Gas Natural Cundiboyacense S.A ESP para que proceda a dar respuesta a las inquietudes planteadas por la Sra. Nelly Calderón</t>
  </si>
  <si>
    <t>53_04_2023_GNCB_Traslado_202331020099602</t>
  </si>
  <si>
    <t>53_05_2023_RTA de vanti _ 10156048_0</t>
  </si>
  <si>
    <t>53_04_2023_Anexo_Traslado_1202331020099602_00002</t>
  </si>
  <si>
    <t>SOLICITUD DE PAGO DE CONTRIBUCION ECONOMICA VIGENCIAS 2022 Y 2023 / CUENTAS DE COBRO ESTRATIFICACIÓN PIEDECUESTA - BARRANCABERMEJA GOR</t>
  </si>
  <si>
    <t xml:space="preserve">La oficina de asesoria de planeacion de piedecuesta, soliita el pago del 50% de la contribucion economica vigencia 2022 y 2023 /Tambien se agrega en un correo recibido el 25/04/23; En la cuenta de cobro de 11.591.200 uno de los anexos indica que hace referencia a un pago pendiente del 2022; sin embargo, esta cuenta se remitió a Vanti en esta vigencia.
</t>
  </si>
  <si>
    <t>52_04_23_Grupo VANTI</t>
  </si>
  <si>
    <t>RE Soportes De Pago - Concurso Económico .msg</t>
  </si>
  <si>
    <t>Requerimiento de Información No. 4 (Aspectos Técnicos) // Requerimiento de información AEGR grupo Vanti 2.25…</t>
  </si>
  <si>
    <t>Requerimiento de información para el desarrollo de procedimientos en auditoría con corte a 31 de Diciembre de 2022, necesaria para la evaluación de los tópicos establecidos por las Resolución 555175 del 5 de octubre de 2021 y su modificación parcial 470165 del 16 de mayo de 2022 de la SSPD.</t>
  </si>
  <si>
    <t>59_05_2023_SOLICITUD DE INFORMACIÓN No 4 AERG GRUPO VANTI 2022_1_</t>
  </si>
  <si>
    <t>59_05_2023_Status requerimiento KPMG Aspectos comerciales v2</t>
  </si>
  <si>
    <t>Comentarios Resolución CREG 702 003 “Por la cual se reglamentan aspectos comerciales del suministro del Mercado Mayorista de gas natural”</t>
  </si>
  <si>
    <t>https://grupovanti.sharepoint.com/:b:/r/sites/GerenciadeRegulacin/Shared%20Documents/General/2023/Regulaci%C3%B3n/152_08_2023_CREG_Comentarios%20Resoluci%C3%B3n%20CREG%20702%20003%20%E2%80%9CPor%20la%20cual%20se%20reglamentan%20aspectos/Comentarios%20Vanti%20CREG%20702-003_F.pdf?csf=1&amp;web=1&amp;e=hRtxaf</t>
  </si>
  <si>
    <t>https://grupovanti.sharepoint.com/sites/GerenciadeRegulacin/Shared%20Documents/Forms/AllItems.aspx?id=%2Fsites%2FGerenciadeRegulacin%2FShared%20Documents%2FGeneral%2F2023%2FRegulaci%C3%B3n%2F152%5F08%5F2023%5FCREG%5FComentarios%20Resoluci%C3%B3n%20CREG%20702%20003%20%E2%80%9CPor%20la%20cual%20se%20reglamentan%20aspectos%2FComentarios%20Vanti%20CREG%20702%2D003%5FF%2Epdf&amp;parent=%2Fsites%2FGerenciadeRegulacin%2FShared%20Documents%2FGeneral%2F2023%2FRegulaci%C3%B3n%2F152%5F08%5F2023%5FCREG%5FComentarios%20Resoluci%C3%B3n%20CREG%20702%20003%20%E2%80%9CPor%20la%20cual%20se%20reglamentan%20aspectos</t>
  </si>
  <si>
    <t>https://grupovanti.sharepoint.com/:b:/r/sites/GerenciadeRegulacin/Shared%20Documents/General/2023/Regulaci%C3%B3n/152_08_2023_CREG_Comentarios%20Resoluci%C3%B3n%20CREG%20702%20003%20%E2%80%9CPor%20la%20cual%20se%20reglamentan%20aspectos/Comentarios_Grupo_Vanti_a_la_Resolucion_CREG_702_003_de_2023_1693601036812.pdf?csf=1&amp;web=1&amp;e=Gfauo2</t>
  </si>
  <si>
    <t>E2023015891</t>
  </si>
  <si>
    <t>Decreto de pruebas dentro del Trámite de Recurso de Reposición interpuesto por VANTI S.A E.S.P. contra la Resolución CREG 502 014 de 2022. E historial de Recursos</t>
  </si>
  <si>
    <t xml:space="preserve">Antecedentes (la comunicación en el asunto, S-2022-006175) // Expediente CREG 2020-0118 -- ( Radicado CREG E-2020-010584 -- la Comisión realizó un ejercicio de depuración de dichos gastos con
fundamento en lo dispuesto en el Anexo 10 de la Metodología contenida en las Resoluciones
CREG 202 de 2013, 138 de 2014, 090 y 132 de 2018, y 011 de 2020) // R1 22/12/22  CREG E-2022-015899 (Solicitud de ampliación del plazo otorgado mediante auto del 16 de diciembre de 2022, por un término de treinta (30) días hábiles adicionales al inicialmente otorgado) // Radicado CREG E-2020-010584 ( Comisión encuentra procedente la 
ampliación del plazo para atender las pruebas decretadas + 30 dias habiles) // </t>
  </si>
  <si>
    <t>DERECHO DE PETICIÓN 
DAYANA GERALDINE MORA RODRIGUEZ</t>
  </si>
  <si>
    <t>Nota*  ya fue enviada a servicio al cliente para su gestión.
DAYANA GERALDINE MORA RODRIGUEZ presenta un derecho de petición a Vanti solicitando la expedición de la factura únicamente con los consumos correspondientes a los tres últimos meses de la cuenta 63012867 y la actualización de la información para las notificaciones correspondientes. La cuenta se encuentra en un proceso por presunta manipulación del medidor y ha recibido información dirigida a una persona desconocida. La petición se sustenta en el marco de la Ley 142 de 1994.</t>
  </si>
  <si>
    <t>44_04_2023_DPeticion  Dayana a Vanti</t>
  </si>
  <si>
    <t>44_05_2023_Recordatorio enviado a Servicio al Cliente_RE DERECHO DE PETICIÓN</t>
  </si>
  <si>
    <t>CERTIFICACIÓN DE LA PRESTACIÓN DEL SERVICIO ENERO Y FEBRERO DE 2023
 SOLICITUD FONDO DE SOLIDARIDAD //Certificación de la prestación del servicio de gas combustible por redes de tubería para los meses de enero y febrero 2023 por parte de GAS NATURAL DEL ORIENTE S.A. E.S.P.</t>
  </si>
  <si>
    <t>certifica que se ha prestado de manera efectiva el servicio de gas combustible por redes de tubería para los cuatro mercados relevantes aprobados por la CREG y que los subsidios y contribuciones para enero y febrero de 2023 han sido aplicados en la facturación de los usuarios.</t>
  </si>
  <si>
    <t>43_04_2023_Comunicación MME - Certificación enero y febrero 2023 GOR</t>
  </si>
  <si>
    <t>CERTIFICACIÓN DE LA PRESTACIÓN DEL SERVICIO ENERO Y FEBRERO DE 2023
 SOLICITUD FONDO DE SOLIDARIDAD //
Certificación de la prestación del servicio de gas combustible por redes de tubería para los meses de enero y febrero 2023 por parte de GAS NATURAL DEL CESAR S.A. E.S.P.</t>
  </si>
  <si>
    <t>El Representante Legal Tipo B de GAS NATURAL DEL CESAR S.A. E.S.P. certifica que se ha prestado de manera efectiva el servicio de gas combustible por redes de tubería para los dos mercados relevantes aprobados por la CREG y que los subsidios y contribuciones para enero y febrero de 2023 han sido aplicados en la facturación de los usuarios.</t>
  </si>
  <si>
    <t>42_04_2023_Comunicación MME - Certificación enero y febrero 2023 GNCR</t>
  </si>
  <si>
    <t>CERTIFICACIÓN DE LA PRESTACIÓN DEL SERVICIO ENERO Y FEBRERO DE 2023
 SOLICITUD FONDO DE SOLIDARIDAD //
Certificación de la prestación del servicio de gas combustible por redes de tubería para los meses de enero y febrero 2023 por parte de GAS NATURAL CUNDIBOYACENSE S.A. E.S.P.</t>
  </si>
  <si>
    <t>El Representante Legal Tipo B de GAS NATURAL CUNDIBOYACENSE S.A. E.S.P. certifica que se ha prestado de manera efectiva el servicio de gas combustible por redes de tubería para los dos mercados relevantes aprobados por la CREG y que los subsidios y contribuciones para enero y febrero de 2023 han sido aplicados en la facturación de los usuarios.</t>
  </si>
  <si>
    <t>41_04_2023_Comunicación MME - Certificación enero y febrero 2023 GNCB</t>
  </si>
  <si>
    <t>CERTIFICACIÓN DE LA PRESTACIÓN DEL SERVICIO ENERO Y FEBRERO DE 2023
 SOLICITUD FONDO DE SOLIDARIDAD //
Certificación de la prestación del servicio de gas combustible por redes de tubería para los meses de enero y febrero 2023 por parte de VANTI S.A. E.S.P.</t>
  </si>
  <si>
    <t>40_04_2023_Comunicación MME - Certificación enero y febrero 2023 Vanti</t>
  </si>
  <si>
    <t>RPQ GAS NATURAL DEL ORIENTE S.A ESP Validación 4-2022 FSSRI GAS</t>
  </si>
  <si>
    <t>Comunicación del Ministerio de Minas y Energía al doctor Henao para validar la información reportada por la empresa GAS NATURAL DEL ORIENTE S.A E.S.P. sobre los subsidios y contribuciones aplicados en el 4° Trimestre 2022. El Ministerio indica que no encontró diferencias significativas entre la información cargada y la verificada y que los subsidios solicitados solo se girarán a los prestadores que cumplan con el Sistema Único de Información.</t>
  </si>
  <si>
    <t>38_04_2023_GOR_202331020089232</t>
  </si>
  <si>
    <t>RPQ GAS NATURAL CUNDIBOYACENSE S.A ESP Validación 4- 2022 FSSRI GAS</t>
  </si>
  <si>
    <t>37_04_2023_GNCB_202331020089392</t>
  </si>
  <si>
    <t>Comentarios al proyecto de resolución - Lineamientos a los prestadores de los servicios públicos domiciliarios en el marco de la protección al usuario.</t>
  </si>
  <si>
    <t>Mediante la presente comunicación, el Grupo Vanti que remite sus comentarios al proyecto de resolución del asunto.
1. Sobre la inconveniencia de prohibir cobros esenciales y obligar a la separación de códigos de pago
 2. Falta de justificación suficiente frente a inclusión de procedimiento de cambio de medidores en contrato de condiciones uniformes - CCU
3. Falta de justificación suficiente frente a prohibición de facturas digitales sin requisitos formales
 4. Falta de justificación suficiente frente a procedimiento para reportar predio desocupado
5. Sobre el riesgo jurídico de que la Superintendencia de Servicios Públicos – SSPD emita regulación
6. Falta de memoria justificativa en la consulta a la ciudadanía</t>
  </si>
  <si>
    <t>36_04_2023_Comentarios Grupo Vanti _10150500_031</t>
  </si>
  <si>
    <t>RV: Novedad regulatoria: Modificación de los parámetros de los agentes dentro de la comercialización mayorista y distribución de GLP.</t>
  </si>
  <si>
    <t>La CREG ha emitido un proyecto de resolución para promover el cumplimiento de la regulación de GLP. El proyecto incluye un nuevo parámetro para calcular la capacidad de compra del distribuidor de GLP, siempre y cuando cumpla con el registro de información en el SUI. Si no se realiza el reporte en el SUI, no se podrá calcular la capacidad de compra con el nuevo parámetro.</t>
  </si>
  <si>
    <t>CREG 702 001_2023</t>
  </si>
  <si>
    <t>Actualización regulatoria - consulta WACC de Transporte</t>
  </si>
  <si>
    <t>PROPUESTA DE AJUSTE A LA TASA DE DESCUENTO QUE SE DEFINIÓ EN LA RESOLUCIÓN CREG 103 DE 2021 -</t>
  </si>
  <si>
    <t>47_04_2023_VANTI_Ajuste WACC_Doc_ sop_702 001_2023_TD_GN</t>
  </si>
  <si>
    <t>47_04_2023_Vanti_ CREG 702 001_2023</t>
  </si>
  <si>
    <t>Derecho de Petición de Información de Organización Política declarada en oposición. Artículo 16 de la Ley 1909 de 2018.</t>
  </si>
  <si>
    <t>Petición de un concejal de Bogotá JAVIER OSPINA   al doctor Juan Felipe Rojas para que apruebe los estudios y diseños de una obra vial en la localidad de Bosa que está deteriorada y requiere intervención.</t>
  </si>
  <si>
    <t>48_04_2023_VANTI_ DERECHO DE PETICION EMPRESAS SERVICIOS PUBLICOS MALLA VIAL venti 307</t>
  </si>
  <si>
    <t>48_05_2023_Respuesta 10283702 - 0 Concejo de Bogotá-JAvier Alejandro Ospina R</t>
  </si>
  <si>
    <t>Traslado radicado número 1-2023-012532 del Ministerio de Minas y Energía</t>
  </si>
  <si>
    <t>Se recibe Derecho de Peticion del señor Manuel Rodriguez “Derecho de petición respecto de la situación de desastre ambiental, vial y social frente al grave riesgo por falta de acceso a los servicios públicos de manera real y efectiva y el cobro ilegal en la comuna 4 y sus barrios entre ellos robles, valcanes y demás barrios que la conforman.”</t>
  </si>
  <si>
    <t>35_04_23_MME Traslado radicado número 1-2023-012532 del Ministerio de Minas y Energía_202332050085862</t>
  </si>
  <si>
    <t>35_04_23_Anexo CREG_1202332050085862_00003</t>
  </si>
  <si>
    <t>Solicitud Acceso expediente 2022 –0063</t>
  </si>
  <si>
    <t>Giovanni como representante legal de la sociedad VANTI Solicita acceso a la totalidad del expediente No. 2022-0063 acompañado de si aplica los argumentos que la sociedad TrasmetanoS.A. E.S.P, expuso para alegar su reserva.</t>
  </si>
  <si>
    <t>34_04_23_Transmetano_Comunicación CREG- Solicitud Acceso Expediente Transmetano - 11-04-2023_JR</t>
  </si>
  <si>
    <t>34_05_2023_RTA_CREG_S2023002571.pdf</t>
  </si>
  <si>
    <t>34_05_2023_Anexo_RV__Solicitud_Acceso_expediente_2022___0063_1681488682873</t>
  </si>
  <si>
    <t>Solicitud Acceso expediente 2022-0065</t>
  </si>
  <si>
    <t>Giovanni como representante legal de la sociedad VANTI Solicita acceso a la totalidad del expediente No. 2022-0065 acompañado de si aplica los argumentos que la sociedad Promigas S.A. E.S.P,. expuso para alegar su reserva.</t>
  </si>
  <si>
    <t>33_04_23_Promigas_Comunicación CREG- Solicitud Acceso Expediente Promigas - 11-04-2023_JR</t>
  </si>
  <si>
    <t>33_05_2023_Promigas_comunicación CREG_10322044 - 0 SP (1)</t>
  </si>
  <si>
    <t>33_05_2023_Anexo_Solicitud_Acceso_expediente_2022_0065_1681489261891</t>
  </si>
  <si>
    <t>Solicitud Acceso expediente 2022 – 0068</t>
  </si>
  <si>
    <t>Giovanni como representante legal de la sociedad VANTI Solicita acceso a la totalidad del expediente No. 2022 – 0068 acompañado de si aplica los argumentos que la sociedad Promioriente S.A. E.S.P. expuso para alegar su reserva.</t>
  </si>
  <si>
    <t>32_04_23_Promioriente _Comunicación CREG- Solicitud Acceso Expediente Promioriente - 11-04-2023_JR</t>
  </si>
  <si>
    <t>32_05_2023_RTA_S2023002570</t>
  </si>
  <si>
    <t>32_05_2023_Anexo_Actuacion_administrativa_en_virtud_de_lo_dispuesto_en_el_articulo_8_de_la_Resolucion_CREG_175_de_202_1681487397117</t>
  </si>
  <si>
    <t>Solicitud de reversión voluntaria del formato SUI GRCS8 (Datos Consolidados – Esquema de Revisiones Periódicas) Periodo 2- 2023.</t>
  </si>
  <si>
    <t>Gas Natural del Oriente S.A. E.S.P. certificó erróneamente el formato GRCS8 en la plataforma SUI y solicita su reversión voluntaria para cargar la información correcta. Adjuntan los archivos con la información certificada y su respectiva modificación.
RTA SSPD: Aprueba y Autoriza el cargue de la informacion objeto de reversion (GRC8 GOR) con plazo de 8 dias para realizar la gestion.</t>
  </si>
  <si>
    <t>50_04_2023_GOR_10184520 -179  2023 Solicitud de Reversión GOR_GRCS8</t>
  </si>
  <si>
    <t>50_05_2023_RTA SSPD_ 20232031634231</t>
  </si>
  <si>
    <t>50_05_2023_FF_CERTIFICADO_202305112023345297</t>
  </si>
  <si>
    <t>Respuesta radicado S-2023-000980 Reporte de información de gastos AOM -   Número de Radicado: E2023006067</t>
  </si>
  <si>
    <t>Respuesta de Gas Natural del Oriente S.A. E.S.P. a un requerimiento de la Comisión sobre la información (S-2023-000980) de gastos y costos AOM reportada en unas plantillas. La empresa informa que ya había ajustado y enviado las plantillas sin valores negativos y que las vuelve a adjuntar para atender el requerimiento.</t>
  </si>
  <si>
    <t>49_04_2023_ GOR_ 026 - Respuesta radicado 2023 _ 000980_Gastos AOM_JR</t>
  </si>
  <si>
    <t>49_04_2023_GasOriente2020 S2023000980</t>
  </si>
  <si>
    <t xml:space="preserve">DENUNCIA Y SOLICITUD // DENUNCIA Y SOLICITUD INMEDIATA, VANTI S.A.  ESP
NIT 800.007.813-5, Calle 71A # 5-38, Bogotá DC  </t>
  </si>
  <si>
    <t xml:space="preserve">Se escala el Derecho de peticion realizado el 8/4/23 con la SSPD donde ahora realiza una Denuncia y tambie la Solicitud relacionado a su situacion. Paz y Salvo / Ajuste Factura / que no se repita </t>
  </si>
  <si>
    <t>46_04_2023_Vanti_Solicitud DP JHON JAIRO GUTIÉRREZ DUQUE</t>
  </si>
  <si>
    <t>46_Rta_DP</t>
  </si>
  <si>
    <t>Solicitud acceso documentos aportados en Actuación Administrativa de aprobación de cargos tarifarios</t>
  </si>
  <si>
    <t>Vanti S.A. E.S.P., solicita autorización para acceder y revisar información reservada en el expediente tarifario de la Comisión de la CREG. La intención es analizar las tarifas solicitadas por TGI, el valor de las inversiones propuestas, el gasto total de AOM solicitado, las propuestas para la agregación de tramos y peticiones con requerimientos especiales.
Asunto RTA: Respuesta a solicitud de acceso a documentos aportados en Actuación Administrativa de
aprobación de cargos tarifarios. Expediente CREG 2022-0059</t>
  </si>
  <si>
    <t>65_05_2023_RTA TGI _ S20230100002220</t>
  </si>
  <si>
    <t>65_05_2023_VANTI_S20230100002220_Anexo_1</t>
  </si>
  <si>
    <t>Requerimiento para completar información y documentos de la solicitud
taifaria para la distribución y comercialización de gas combustible por redes
en el mercado relevante conformado por el municipio Santa Rosa del Sur en el
departamento de Bolívar, presentada por la empresa GAS NATURAL DEL
ORIENTE S.A. E.S.P.
Radicado CREG: E-2022-014745
Apligas No. 2889</t>
  </si>
  <si>
    <t>S2023001972 - Rta Solicitud Cargos de Distribución / No se cumplio metodologia según lineamientos Circular CREG 030 de 2019 / Requerimientos adicionales</t>
  </si>
  <si>
    <t>S2023001972 _GOR_29_03_23</t>
  </si>
  <si>
    <t>Alcance solicitud tarifaria_05_04_23_GOR</t>
  </si>
  <si>
    <t>Remision de informacion para realizar el pago  del aporte concurso economico presupuesto anual de gastos de comité permanente de estratificacion para la vigencia 2023</t>
  </si>
  <si>
    <t>SPDI-CH-073-2023
Anexos y recibo de pago para la tarifa correspondiente a cada empresa prestadora y comercializadora de servicios publicos domiciliarios del PRESUPUESTO ANUAL DE GASTOS DEL COMITÉ PERMANENTE DE ESTRATIFICACION PARA LA VIGENCIA 2023</t>
  </si>
  <si>
    <t>SPDI-CH-073-2023_Chiquinquira</t>
  </si>
  <si>
    <t>Chiquin_RV Remisión de información para realización del pago del aporte concurso económico presupuesto anual de gastos del comité permanente de estratificación para la vigencia 2023.</t>
  </si>
  <si>
    <t>solicitud aclaración de inquietudes de información enviada al DANE.</t>
  </si>
  <si>
    <t>REPORTE DE INFORMACION PERIODICA DE GAS PARA GENERAR INFORMACION SOBRE LA EVOLUCION DEL SECTOR INDUSTRIAL CON INFORMACION DE DETALLE EN LOS DATOS ENTREGADOS SEGÚN PUNTOS ACORDADOS EN REUNION 15 DE MARZO DE 2023</t>
  </si>
  <si>
    <t>RTA -20232100002251T-GRUPO VANTI_03_23</t>
  </si>
  <si>
    <t>Radicado No. 20232100002251T</t>
  </si>
  <si>
    <t xml:space="preserve">Requerimiento factor de corrección cuenta suscriptor 63726671 </t>
  </si>
  <si>
    <t>Radicado No.: 20232311028311 - Diligenciar Archivo en Excel formulado - Evidencia fotográfica disponible - Acta de revisión técnica</t>
  </si>
  <si>
    <t>22_03_2023_RAD2_GOR_22_03_23</t>
  </si>
  <si>
    <t>Requerimiento de información tarifaria periodo enero 2023 y copia de las facturas del
pago de suministro y transporte de gas natural - Radicado No.: 20232311079961</t>
  </si>
  <si>
    <t>Radicado No.: 20232311079961 - con el fin verificar que la empresa ha calculado correctamente los costos de los
componentes de Suministro (G), Transporte (T), Distribución (D) y Comercialización © e requiere "Copia de las facturas…" diligenciar "Archivo Excel adjunto", "Copia digital de los nuevos contratos de suministro"</t>
  </si>
  <si>
    <t>https://grupovanti.sharepoint.com/:b:/r/sites/GerenciadeRegulacin/Shared%20Documents/General/2023/Regulaci%C3%B3n/SSPD%20MARZO/VANTI/RAD1_vanti_22_03_23.pdf?csf=1&amp;web=1&amp;e=VZhDiD</t>
  </si>
  <si>
    <t>https://grupovanti.sharepoint.com/:b:/r/sites/GerenciadeRegulacin/Shared%20Documents/General/2023/Regulaci%C3%B3n/SSPD/VANTI/28-Respuesta%20SSPD%20Radicado%2020232311079961_05_04_23_Vanti.pdf?csf=1&amp;web=1&amp;e=im3gaF</t>
  </si>
  <si>
    <t>Requerimiento a la ESP para completar información.</t>
  </si>
  <si>
    <t>D:\Users\00082611\OneDrive - Vanti\Nuevo SUI\02. Seguimiento\CONSECUTIVOS\Regulación 2023\110_06_2023_SSPD VANTI_20238001109091</t>
  </si>
  <si>
    <t>D:\Users\00082611\OneDrive - Vanti\Nuevo SUI\02. Seguimiento\CONSECUTIVOS\Regulación 2023\107_06_2023_SSPD Vanti_20238001108921\107_06_2023_SSPD Vanti_20238001108921.pdf</t>
  </si>
  <si>
    <t>Secretaria de Infraestructura y Planeacion Municipio de Sutatausa</t>
  </si>
  <si>
    <t>Solicitan remitir copia del Ajuste del reporte de liquidacion en  formato excel  / Estratificacion / liquidacion y facturacion de SPD</t>
  </si>
  <si>
    <t>https://grupovanti.sharepoint.com/:b:/r/sites/GerenciadeRegulacin/Shared%20Documents/General/2023/Regulaci%C3%B3n/Municipio%20Sutatausa/userFile1679595698880_GVANTI_MunicipioSutatausa_14_03_23.pdf?csf=1&amp;web=1&amp;e=66pfrN</t>
  </si>
  <si>
    <t>Radicación recibo 23990020909 VANTI primera cuota (1) Resolución 279 de 2023</t>
  </si>
  <si>
    <t>Radicado primera cuota del concurso economico acompañado de anexos como el recibo de pago y Resolución 279 del 14 de febrero de 2023 - pendiente de soporte de pago</t>
  </si>
  <si>
    <t>RESOLUCION 279 CONCURSO ECONOMICO_VANTI_ 2023</t>
  </si>
  <si>
    <t>Soporte de pago_concurso economico Vigencia 2023_Vanti_23990036902</t>
  </si>
  <si>
    <t>Requerimiento Radicado N. 20232310852571–  en realcion a Radicado SSPD No. 20235290368862/ del 27 de enero de 2023</t>
  </si>
  <si>
    <t>Radicado 20232310852571 -- Radicado_No._20232310716951 -- Se solicita información base para el cálculo de los indicadores de gestión
de acuerdo con lo establecido en la Resolución CREG 072 de 2002</t>
  </si>
  <si>
    <t>23_03_2023_CREG Vanti_Reporte_Indicadores_CREG_072 _de _2002_Vanti</t>
  </si>
  <si>
    <t>Saldos y el histórico de los valores en la tarifa del usuario final (CREG-048) Opcion Tarifaria</t>
  </si>
  <si>
    <t xml:space="preserve">Solicita el diligenciamiento del Excel "SA_OTT_2023.xls" </t>
  </si>
  <si>
    <t>https://grupovanti.sharepoint.com/:b:/r/sites/GerenciadeRegulacin/Shared%20Documents/General/2023/Regulaci%C3%B3n/SSPD%20MARZO/VANTI/Vanti%20Recuperaci%C3%B3n%20de%20saldos%20acumulados%20de%20la%20Resoluci%C3%B3n%20CREG%20048.pdf?csf=1&amp;web=1&amp;e=Pczgcq</t>
  </si>
  <si>
    <t>Saldos y el histórico de los valores en la tarifa del usuario final (CREG-048)</t>
  </si>
  <si>
    <t xml:space="preserve">Radicado No. 20232310850391  -- Solicita el diligenciamiento del Excel "SA_OTT_2023.xls" </t>
  </si>
  <si>
    <t>Recuperación de saldos acumulados de la Resolución CREG 048 _ GNCR.pdf</t>
  </si>
  <si>
    <t xml:space="preserve">Radicado No. 20232310850401  -- Solicita el diligenciamiento del Excel "SA_OTT_2023.xls" </t>
  </si>
  <si>
    <t>Recuperación de saldos acumulados de la Resolución CREG 048 _ GOR.pdf</t>
  </si>
  <si>
    <t>Vanti Recuperación de saldos acumulados de la Resolución CREG 048 _ gncb.pdf</t>
  </si>
  <si>
    <t>Radicado No. Saldos y el histórico de los valores en la tarifa del usuario final (CREG-048)</t>
  </si>
  <si>
    <t>Radicado No. 20232310850381  -- El Comercializador deberá mantener
actualizada la información relativa a los saldos acumulados, y el histórico de los valores que se
trasladan a la tarifa del usuario final</t>
  </si>
  <si>
    <t>https://grupovanti.sharepoint.com/:b:/r/sites/GerenciadeRegulacin/Shared%20Documents/General/2023/Regulaci%C3%B3n/26_03_2023_Saldos%20hisotircos%20y%20tarifas/GNCB%20Recuperaci%C3%B3n%20de%20saldos%20acumulados%20de%20la%20Resoluci%C3%B3n%20CREG%20048.pdf?csf=1&amp;web=1&amp;e=rGdutw</t>
  </si>
  <si>
    <t>https://grupovanti.sharepoint.com/:f:/r/sites/GerenciadeRegulacin/Shared%20Documents/General/2023/Regulaci%C3%B3n/26_03_2023_Saldos%20hisotircos%20y%20tarifas?csf=1&amp;web=1&amp;e=OiYyvs</t>
  </si>
  <si>
    <t>E2023004099</t>
  </si>
  <si>
    <t>RADICADO RPQ GAS NATURAL DEL CESAR S.A ESP Validación 4-2022 FSSRI GAS</t>
  </si>
  <si>
    <t>https://grupovanti.sharepoint.com/:b:/r/sites/GerenciadeRegulacin/Shared%20Documents/General/2023/Regulaci%C3%B3n/MME/202331020089342.pdf?csf=1&amp;web=1&amp;e=4zmYZv</t>
  </si>
  <si>
    <t>2-2023-008934</t>
  </si>
  <si>
    <t>Proyecto de resolución 702 005 de 2023</t>
  </si>
  <si>
    <t>https://grupovanti.sharepoint.com/:b:/r/sites/GerenciadeRegulacin/Shared%20Documents/General/2023/Regulaci%C3%B3n/169_10_2023_CREG_Proyecto%20de%20resoluci%C3%B3n%20702%20005%20de%202023/Proyecto_Resoluci%C3%B3n_CREG_702_005_2023.pdf?csf=1&amp;web=1&amp;e=kh5Ya7</t>
  </si>
  <si>
    <t>https://grupovanti.sharepoint.com/:f:/r/sites/GerenciadeRegulacin/Shared%20Documents/General/2023/Regulaci%C3%B3n/169_10_2023_CREG_Proyecto%20de%20resoluci%C3%B3n%20702%20005%20de%202023?csf=1&amp;web=1&amp;e=3i3EIP</t>
  </si>
  <si>
    <t xml:space="preserve"> Incidencias presentadas en la semana del 13 al 17 de febrero de 2023 en el aplicativo SUI</t>
  </si>
  <si>
    <t>Se reportan las incidencias (10150500 -019 – 2023)hasta el mes de Febrero en relacion anuevos lineamientos y errores al cargue de los formatos:
GRTT2
GRCS1
GRCS3
GRCS7
GRCS9
GRCS8
GRT1</t>
  </si>
  <si>
    <t>19_02_2023_VANTI SSPD_Incidencias Nuevo SUI feb 2023</t>
  </si>
  <si>
    <t>19_06_2023_SSPD VANTI_RTA_20232031563011</t>
  </si>
  <si>
    <t>19_02_2023_Anexo Envio VANTI SSPD_Incidencias presentadas en la semana del 13 al 17 de febrero de 2023 en el aplicativo SUI</t>
  </si>
  <si>
    <t>Respuesta Requerimiento de información sobre la Revisión Periódica Obligatoria – RPO
Radicado No. 20232310847821</t>
  </si>
  <si>
    <t>En atención al comunicado enunciado en el asunto, por medio del cual solicita información relacionada con el proceso de revisión periódica obligatoria, al 31 de diciembre de 2022 Y RTA</t>
  </si>
  <si>
    <t>https://grupovanti.sharepoint.com/:f:/r/sites/GerenciadeRegulacin/Shared%20Documents/General/2023/Regulaci%C3%B3n/29_03_2023_GNCR-Respuesta%20Requerimiento%20de%20informaci%C3%B3n%20sobre%20la%20Revisi%C3%B3n%20Peri%C3%B3dica%20Obligatoria?csf=1&amp;web=1&amp;e=kPyTNz</t>
  </si>
  <si>
    <t>Respuesta Requerimiento de información sobre la Revisión Periódica Obligatoria – RPO</t>
  </si>
  <si>
    <t>En atención al comunicado enunciado en el asunto, por medio del cual solicita información relacionada con el proceso de revisión periódica obligatoria, al 31 de diciembre de 2022</t>
  </si>
  <si>
    <t>https://grupovanti.sharepoint.com/:b:/r/sites/GerenciadeRegulacin/Shared%20Documents/General/2023/Regulaci%C3%B3n/31_03_2023_GNCB-Respuesta%20Requerimiento%20de%20informaci%C3%B3n%20sobre%20la%20Revisi%C3%B3n%20Peri%C3%B3dica%20Obligatoria/028-%20Respuesta%20requerimiento%20Informaci%C3%B3n%20RPO%202022_cundi.pdf?csf=1&amp;web=1&amp;e=2ttvfu</t>
  </si>
  <si>
    <t>Respuesta Requerimiento de información sobre la Revisión Periódica Obligatoria – RPO
Radicado No. 20232310848101</t>
  </si>
  <si>
    <t>https://grupovanti.sharepoint.com/:b:/r/sites/GerenciadeRegulacin/Shared%20Documents/General/2023/Regulaci%C3%B3n/27_03_2023_VANTI-Respuesta%20Requerimiento%20de%20informaci%C3%B3n%20sobre%20la%20Revisi%C3%B3n%20Peri%C3%B3dica%20Obligatoria/027-%20Respuesta%20requerimiento%20Informaci%C3%B3n%20RPO%202022_Vanti.pdf?csf=1&amp;web=1&amp;e=jC5wNH</t>
  </si>
  <si>
    <t>https://grupovanti.sharepoint.com/:f:/r/sites/GerenciadeRegulacin/Shared%20Documents/General/2023/Regulaci%C3%B3n/31_03_2023_GNCB-Respuesta%20Requerimiento%20de%20informaci%C3%B3n%20sobre%20la%20Revisi%C3%B3n%20Peri%C3%B3dica%20Obligatoria?csf=1&amp;web=1&amp;e=BFvgCB</t>
  </si>
  <si>
    <t>Respuesta Requerimiento de información sobre la Revisión Periódica Obligatoria – RPO
                Radicado No. 20232310848151</t>
  </si>
  <si>
    <t>https://grupovanti.sharepoint.com/:b:/r/sites/GerenciadeRegulacin/Shared%20Documents/General/2023/Regulaci%C3%B3n/30_03_2023_GOR-Respuesta%20Requerimiento%20de%20informaci%C3%B3n%20sobre%20la%20Revisi%C3%B3n%20Peri%C3%B3dica%20Obligatoria/030-%20Respuesta%20requerimiento%20Informaci%C3%B3n%20RPO%202022_Gasoriente.pdf?csf=1&amp;web=1&amp;e=MhcNYs</t>
  </si>
  <si>
    <t>https://grupovanti.sharepoint.com/:f:/r/sites/GerenciadeRegulacin/Shared%20Documents/General/2023/Regulaci%C3%B3n/30_03_2023_GOR-Respuesta%20Requerimiento%20de%20informaci%C3%B3n%20sobre%20la%20Revisi%C3%B3n%20Peri%C3%B3dica%20Obligatoria?csf=1&amp;web=1&amp;e=72hfUE</t>
  </si>
  <si>
    <t>Comunicado respuesta a radicado 2-2023-008893 del 17-04-2023 “RPQ VANTI S.A. E.S.P. V</t>
  </si>
  <si>
    <t>El representante legal de VANTI S.A. E.S.P. recibió un oficio del Ministerio con la validación del cuarto trimestre de 2022 de los subsidios y contribuciones del FSSRI de gas natural. Al comparar los valores reportados por Vanti y el Ministerio para la fila “Giros Recibidos de Otros Comercializadores”, se observa una diferencia de $396.185.232. Por lo tanto, el representante legal solicita el detalle de los $1.025.599.841 reportados por el Ministerio para aclarar la diferencia presentada en esta variable.</t>
  </si>
  <si>
    <t>39_04_2023_RTA_Comunicación MME - Diferencia Conciliacion 4Q 2022 - Giros_JR_ VANTI</t>
  </si>
  <si>
    <t xml:space="preserve">Respuesta Radicado No. 20232310504851–Requerimiento de información tarifaria periodo diciembre de 2022 </t>
  </si>
  <si>
    <t>Comentarios para cada uno de los puntos del comunicado</t>
  </si>
  <si>
    <t>https://grupovanti.sharepoint.com/:b:/r/sites/GerenciadeRegulacin/Shared%20Documents/General/2023/Regulaci%C3%B3n/18/18-Respuesta%20SSPD%20Radicado%2020232310504851%20.pdf?csf=1&amp;web=1&amp;e=82XnXb</t>
  </si>
  <si>
    <t xml:space="preserve"> Solicitud información Indicadores de Gestión Año 2022 -Resolución CREG 072 de 2002 -  Resolucion No.  20232310716991</t>
  </si>
  <si>
    <t>Radicado No. 20232310716991   --  Se busca establecer la metodología para clasificar las personas
prestadoras de los servicios públicos, de acuerdo con el nivel de riesgo y se definen los criterios,
metodologías, indicadores, parámetros y modelos de carácter obligatorio que permiten evaluar
su gestión y resultados</t>
  </si>
  <si>
    <t>https://grupovanti.sharepoint.com/:f:/r/sites/GerenciadeRegulacin/Shared%20Documents/General/2023/Regulaci%C3%B3n/21-03-2023%20%20al%2024-03-2023%20Indicadores%20SSPD/24.GNCB?csf=1&amp;web=1&amp;e=rc850w</t>
  </si>
  <si>
    <t>E2023004101</t>
  </si>
  <si>
    <t xml:space="preserve"> Solicitud información Indicadores de Gestión Año 2022 -Resolución CREG 072 de 2002 -  Resolucion No.  20232310717001</t>
  </si>
  <si>
    <t>Radicado No. 20232310717001   --  Se busca establecer la metodología para clasificar las personas
prestadoras de los servicios públicos, de acuerdo con el nivel de riesgo y se definen los criterios,
metodologías, indicadores, parámetros y modelos de carácter obligatorio que permiten evaluar
su gestión y resultados</t>
  </si>
  <si>
    <t>https://grupovanti.sharepoint.com/:f:/r/sites/GerenciadeRegulacin/Shared%20Documents/General/2023/Regulaci%C3%B3n/21-03-2023%20%20al%2024-03-2023%20Indicadores%20SSPD/22%20GOR?csf=1&amp;web=1&amp;e=JRnmxU</t>
  </si>
  <si>
    <t>E2023004100</t>
  </si>
  <si>
    <t xml:space="preserve"> Solicitud información Indicadores de Gestión Año 2022 -Resolución CREG 072 de 2002 -  Resolucion No. </t>
  </si>
  <si>
    <t>Radicado No.   --  Se busca establecer la metodología para clasificar las personas
prestadoras de los servicios públicos, de acuerdo con el nivel de riesgo y se definen los criterios,
metodologías, indicadores, parámetros y modelos de carácter obligatorio que permiten evaluar
su gestión y resultados</t>
  </si>
  <si>
    <t>https://grupovanti.sharepoint.com/:f:/r/sites/GerenciadeRegulacin/Shared%20Documents/General/2023/Regulaci%C3%B3n/21-03-2023%20%20al%2024-03-2023%20Indicadores%20SSPD?csf=1&amp;web=1&amp;e=lzCsp1</t>
  </si>
  <si>
    <t>E2023004098</t>
  </si>
  <si>
    <t xml:space="preserve"> Solicitud información Indicadores de Gestión Año 2022 -Resolución CREG 072 de 2002 -  Resolucion No. 20232310716951</t>
  </si>
  <si>
    <t>Radicado No. 20232310716951  --  Se busca establecer la metodología para clasificar las personas
prestadoras de los servicios públicos, de acuerdo con el nivel de riesgo y se definen los criterios,
metodologías, indicadores, parámetros y modelos de carácter obligatorio que permiten evaluar
su gestión y resultados</t>
  </si>
  <si>
    <t>https://grupovanti.sharepoint.com/:f:/r/sites/GerenciadeRegulacin/Shared%20Documents/General/2023/Regulaci%C3%B3n/21-03-2023%20%20al%2024-03-2023%20Indicadores%20SSPD/21%20GNCR?csf=1&amp;web=1&amp;e=QMNEDW</t>
  </si>
  <si>
    <t>Vinculación Expediente CREG 2022 - 0063
Radicado CREG: E2023000552</t>
  </si>
  <si>
    <t>copia del auto en donde se acepta solicitud de Vanti S.A.
E.S.P. y se reconoce como parte interesada en la actuación iniciada por Transmetano
S.A. E.S.P., la cual consta en el expediente con número CREG 2022 – 0063.</t>
  </si>
  <si>
    <t>https://grupovanti.sharepoint.com/:b:/r/sites/GerenciadeRegulacin/Shared%20Documents/General/2023/Regulaci%C3%B3n/CREG%20MARZO/VANTI/S2023001048%20%2014-03.pdf?csf=1&amp;web=1&amp;e=Js7Mak</t>
  </si>
  <si>
    <t>Aporte de dictamen pericial con intervención de perito experto para expediente tarifario CREG 2020-0114, Gas Natural Cundiboyacense S.A. E.S.P.</t>
  </si>
  <si>
    <t>https://grupovanti.sharepoint.com/:f:/r/sites/GerenciadeRegulacin/Shared%20Documents/General/2023/Regulaci%C3%B3n/175_10_2023_Aporte%20de%20dictamen%20pericial%20con%20intervenci%C3%B3n%20de%20perito%20experto%20para%20expediente%20tarifario%20CREG?csf=1&amp;web=1&amp;e=rvs85c</t>
  </si>
  <si>
    <t>https://grupovanti.sharepoint.com/sites/GerenciadeRegulacin/Shared%20Documents/Forms/AllItems.aspx?csf=1&amp;web=1&amp;e=rvs85c&amp;cid=ed35327e%2Dac1f%2D4708%2D9226%2Dbd9c18efaffa&amp;FolderCTID=0x0120003240E074C7990143880EE7167DD3D7D1&amp;id=%2Fsites%2FGerenciadeRegulacin%2FShared%20Documents%2FGeneral%2F2023%2FRegulaci%C3%B3n%2F175%5F10%5F2023%5FAporte%20de%20dictamen%20pericial%20con%20intervenci%C3%B3n%20de%20perito%20experto%20para%20expediente%20tarifario%20CREG%2FComunicaci%C3%B3n%20Cundi%20%2D%20Dictamen%20Pericial%2Epdf&amp;parent=%2Fsites%2FGerenciadeRegulacin%2FShared%20Documents%2FGeneral%2F2023%2FRegulaci%C3%B3n%2F175%5F10%5F2023%5FAporte%20de%20dictamen%20pericial%20con%20intervenci%C3%B3n%20de%20perito%20experto%20para%20expediente%20tarifario%20CREG</t>
  </si>
  <si>
    <t>https://grupovanti.sharepoint.com/:f:/r/sites/GerenciadeRegulacin/Shared%20Documents/General/2023/Regulaci%C3%B3n/175_10_2023_Aporte%20de%20dictamen%20pericial%20con%20intervenci%C3%B3n%20de%20perito%20experto%20para%20expediente%20tarifario%20CREG?csf=1&amp;web=1&amp;e=dwLST2</t>
  </si>
  <si>
    <t>RV: Reporte de Activos - Resol CREG 202 de 2013 Gas Natural del Oriente // Reporte de información de activos - Anexo 18 de la Resolución CREG 202 de 2013</t>
  </si>
  <si>
    <t xml:space="preserve">En cumplimiento de lo establecido en el numeral 13.3 de la Resolución CREG 
202 de 2013, nos permitimos remitir la información de los activos puestos en 
operación en el sistema de distribución durante el año 2022 para la empresa 
GOR  </t>
  </si>
  <si>
    <t>13_01_2023_CREG Reporte Activos 2022_Gasoriente</t>
  </si>
  <si>
    <t>RV: Reporte de Activos - Resol CREG 202 de 2013 Gas Natural Cundiboyaca // Reporte de información de activos - Anexo 18 de la Resolución CREG 202 de 2013</t>
  </si>
  <si>
    <t xml:space="preserve">En cumplimiento de lo establecido en el numeral 13.3 de la Resolución CREG 
202 de 2013, nos permitimos remitir la información de los activos puestos en 
operación en el sistema de distribución durante el año 2022 para la empresa 
GNCB </t>
  </si>
  <si>
    <t>14_01_2023_CREG Reporte Activos 2022_Cundi</t>
  </si>
  <si>
    <t>RV: Reporte de Activos - Resol CREG 202 de 2013 Gas Natural del Cesar // Reporte de información de activos - Anexo 18 de la Resolución CREG 202 de 2013</t>
  </si>
  <si>
    <t xml:space="preserve">En cumplimiento de lo establecido en el numeral 13.3 de la Resolución CREG 
202 de 2013, nos permitimos remitir la información de los activos puestos en 
operación en el sistema de distribución durante el año 2022 para la empresa 
GASNACER </t>
  </si>
  <si>
    <t>15_01_2023_CREG Reporte Activos 2022_Gasnacer.pdf</t>
  </si>
  <si>
    <t>RV: Reporte de Activos - Resol CREG 202 de 2013 Vanti // Reporte de información de activos - Anexo 18 de la Resolución CREG 202 de 2013</t>
  </si>
  <si>
    <t>En cumplimiento de lo establecido en el numeral 13.3 de la Resolución CREG 
202 de 2013, nos permitimos remitir la información de los activos puestos en 
operación en el sistema de distribución durante el año 2022 para la empresa 
VANTI ESP SA</t>
  </si>
  <si>
    <t>12_01_2023_CREG Reporte Activos 2022_Vanti.pdf</t>
  </si>
  <si>
    <t>: Comentarios a "ESTUDIO TÉCNICO PARA EL PLAN DE ABASTECIMIENTO DE GAS NATURAL 2020". Respuesta a radicado UPME 20221700165021.</t>
  </si>
  <si>
    <t>Regulación\07-01-2023\Carta cita UPME.pdf</t>
  </si>
  <si>
    <t>Traslado por competencias, derecho de peticion, representante a a la camara Jennifer Pedraza.</t>
  </si>
  <si>
    <t>Remitir relación en formato Excel de las y de los trabajadores de la Secretaría
Distrital de Ambiente y otros requerimientos de informacion</t>
  </si>
  <si>
    <t>https://grupovanti.sharepoint.com/sites/GerenciadeRegulacin/Shared%20Documents/General/2023/Regulación/01-01-2023%20DP-Jennfer%20Pedraza/DP%20Jennifer%20Pedraza.pdf</t>
  </si>
  <si>
    <t>https://grupovanti.sharepoint.com/sites/GerenciadeRegulacin/Shared%20Documents/General/2023/Regulación/01-01-2023%20DP-Jennfer%20Pedraza/Dr%20Rodolfo%20Anaya%20A.pdf</t>
  </si>
  <si>
    <t>Citación para notificar la liquidación oficial N° LO2022R105004_0082, de contribución especial Resolución 105004_22 a favor de la CREG para la vigencia 2022.</t>
  </si>
  <si>
    <t>CITACIÓN</t>
  </si>
  <si>
    <t>https://grupovanti.sharepoint.com/:b:/r/sites/GerenciadeRegulacin/Shared%20Documents/General/2023/Regulaci%C3%B3n/05-01-2023%20Citaci%C3%B3n%20para%20notificar%20la%20liquidaci%C3%B3n%20GNCB/S2022007187.pdf?csf=1&amp;web=1&amp;e=on0SOU</t>
  </si>
  <si>
    <t>S2022007187</t>
  </si>
  <si>
    <t>Citación para notificar la liquidación oficial N° LO2022R105004_0006, de contribución especial Resolución 105004_22 a favor de la CREG para la vigencia 2022.</t>
  </si>
  <si>
    <t>https://grupovanti.sharepoint.com/:b:/r/sites/GerenciadeRegulacin/Shared%20Documents/General/2023/Regulaci%C3%B3n/04-01-2023%20Citaci%C3%B3n%20para%20notificar%20la%20liquidaci%C3%B3n%20VANTI/S2022007111.pdf?csf=1&amp;web=1&amp;e=1PsYSN</t>
  </si>
  <si>
    <t>S2022007111</t>
  </si>
  <si>
    <t>Citación para notificar la liquidación oficial N° LO2022R105004_0017, de contribución especial Resolución 105004_22 a favor de la CREG para la vigencia 2022.</t>
  </si>
  <si>
    <t>https://grupovanti.sharepoint.com/:b:/r/sites/GerenciadeRegulacin/Shared%20Documents/General/2023/Regulaci%C3%B3n/03-01-2023%20Citaci%C3%B3n%20para%20notificar%20la%20liquidaci%C3%B3n%20GOR/S2022007122.pdf?csf=1&amp;web=1&amp;e=QmvLzE</t>
  </si>
  <si>
    <t>S2022007122</t>
  </si>
  <si>
    <t>Citación para notificar la liquidación oficial N° LO2022R105004_0016, de contribución especial Resolución 105004_22 a favor de la CREG para la vigencia 2022.</t>
  </si>
  <si>
    <t>https://grupovanti.sharepoint.com/:b:/r/sites/GerenciadeRegulacin/Shared%20Documents/General/2023/Regulaci%C3%B3n/02-01-2023%20Citaci%C3%B3n%20para%20notificar%20la%20liquidaci%C3%B3n%20GNCR/S2022007121.pdf?csf=1&amp;web=1&amp;e=VoSAP1</t>
  </si>
  <si>
    <t>S2022007121</t>
  </si>
  <si>
    <t>Respuesta al requerimiento con número deradicado S2022006175del 16de diciembre de 2022.</t>
  </si>
  <si>
    <t>El  documento  tiene  por  objetivo  presentar  una respuesta  amplia  y  suficiente  a  la solicitud de la CREG del origen, ubicación y justificación de algunas cuentas de costos y gastos de  la  actividad  de  distribución</t>
  </si>
  <si>
    <t>https://grupovanti.sharepoint.com/:b:/r/sites/GerenciadeRegulacin/Shared%20Documents/General/2023/Regulaci%C3%B3n/17/2023.02.15%20-Respuesta%20AUTO%20de%20pruebas%20Vanti%20MCB%204.pdf?csf=1&amp;web=1&amp;e=Y157Og</t>
  </si>
  <si>
    <t>Aplicación Decreto Nacional 1170 de 2015</t>
  </si>
  <si>
    <t>REQUERIMIENTO / Residenciales a los cuales se les prestó el servicio -  valor facturado  de Enero a Diciembre de 2022 / Concurso Economico</t>
  </si>
  <si>
    <t>https://grupovanti.sharepoint.com/:b:/r/sites/GerenciadeRegulacin/Shared%20Documents/General/2023/Regulaci%C3%B3n/SPD/9726985%20-%200%20SP_%20VANTI_SDP_CONCURSOECO_2023.pdf?csf=1&amp;web=1&amp;e=MIOjTr</t>
  </si>
  <si>
    <t>Solicitud Información valor de consumo, consumo y total facturado serie 2014-2022</t>
  </si>
  <si>
    <t>INCREMENTO TARIFARIO DE LOS SERVICIOS PUBLICOS DOMICILIARIOS DE
ENERGIA, GAS NATURAL, AGUA Y ALCANTARILLADO.</t>
  </si>
  <si>
    <t xml:space="preserve">Consejo de Bogota </t>
  </si>
  <si>
    <t>Requerimiento de información tarifaria periodo agosto 2022, copia de las facturas
del pago de suministro y transporte de gas natural</t>
  </si>
  <si>
    <t>20222314529971.pdf</t>
  </si>
  <si>
    <t>Requerimiento de información Indicadores AEGR 28/10/2022</t>
  </si>
  <si>
    <t>M:\AUDITORIA AEGR\2022\SOLICITUD DE INFORMACIÓN No 1 AERG GRUPO VANTI 2022 (1).pdf</t>
  </si>
  <si>
    <t>Requerimiento de información No. 1 - AEGR 2022 Grupo Vanti 04/11/2022</t>
  </si>
  <si>
    <t>M:\AUDITORIA AEGR\2022\SOLICITUD DE INFORMACIÓN No 1 AERG GRUPO VANTI 2022.pdf</t>
  </si>
  <si>
    <t>147\20222314529971.pdf</t>
  </si>
  <si>
    <t>Comentarios al proyecto de resolución CREG 702 008 de 2022</t>
  </si>
  <si>
    <t>145 - Actuación Administrativa I2022007103 Expedientes Gasnacer_vfinal.pdf</t>
  </si>
  <si>
    <t>Respuesta Radicado No. 20222314222231 – Requerimiento de información cuenta suscriptor 62873273</t>
  </si>
  <si>
    <t xml:space="preserve">Se solicita información en relación a facturación para el suscriptor 62873273,Vanti SA ESP realizó el ajuste en la facturación del mes de julio, el cual se confirmó al cliente mediante carta entregada del 05 de julio de 2022 </t>
  </si>
  <si>
    <t>X:\CONSECUTIVOS\2022\Regulacion\143\20222314222231.pdf</t>
  </si>
  <si>
    <t>X:\CONSECUTIVOS\2022\Regulacion\143\143-09-2022 Respuesta al requerimeinto 20222314222231.docx</t>
  </si>
  <si>
    <t>Respuesta Radicado No. 20222314159701 – Requerimiento de información suspensión 
del servicio en La Gloria, Cesar</t>
  </si>
  <si>
    <t>Se solicita información relacionada con un evento de suspensión del servicio registrado en el municipio La Gloria del departamento del Cesar,1419 clientes que fueron afectados por la suspensión del servicio, indicando en cada caso la información solicitada en su requerimiento.a la fecha, el suministro del servicio en el municipio La 
Gloria opera con normalidad. Se reitera que el servicio fue restablecido el día 18 de septiembre de 2022</t>
  </si>
  <si>
    <t>X:\CONSECUTIVOS\2022\Regulacion\139\20222314159701 (1).pdf</t>
  </si>
  <si>
    <t>X:\CONSECUTIVOS\2022\Regulacion\139\139-09-2022 Respuesta al requerimiento 20222314159701_JR.pdf</t>
  </si>
  <si>
    <t>Respuesta Radicado No. 20222304029891 – Requerimiento de información calidad de la información cargada en el año 2021 al Sistema Único de Información – SUI.</t>
  </si>
  <si>
    <t>Se solicita información en relación con calidad de la información cargada en el año 2021 al Sistema Único de Información, 
De aprobarse la presente solicitud, se cargará la información correspondiente cumpliendo con el compromiso de VANTI S.A. E.S.P. de garantizar la calidad de la información reportada al SUI.</t>
  </si>
  <si>
    <t>X:\CONSECUTIVOS\2022\Regulacion\138\SUI.pdf</t>
  </si>
  <si>
    <t>X:\CONSECUTIVOS\2022\Regulacion\138\138-09-2022 Respuesta al requerimiento Radicado No. 20222304029891_JR.docx</t>
  </si>
  <si>
    <t>Respuesta Radicado No. 20222314175091– Requerimiento de información tarifaria 
periodo julio de 2022</t>
  </si>
  <si>
    <t>Se solicita información en relación con las facturas de suministro y transporte e información tarifaria para el periodo de julio de 2022, se enviaron las facturas siporte Además, se adicionó la hoja “Notas Empresa” con información adicional que consideramos 
pertinente para sus actividades de validación de información</t>
  </si>
  <si>
    <t>X:\CONSECUTIVOS\2022\Regulacion\137\20222314175091.pdf</t>
  </si>
  <si>
    <t>X:\CONSECUTIVOS\2022\Regulacion\137\137 -Respuesta SSPD Radicado 20222314175091 Vanti_jul.pdf</t>
  </si>
  <si>
    <t>RESPUESTA NUMERO DE RADICADO: S2022004104 - RESPUESTA CORREO 
RADICADO CREG E2022010490 DEL 15 DE SEPTIEMBRE 2022</t>
  </si>
  <si>
    <t>Las contribuciones deberán ser pagadas dentro del plazo señalado en el Parágrafo anterior, descontando la suma consignada como anticipo. Al respecto informamos, que Dado que el acto liquidatario quedó en firme hasta el mes de septiembre de 2022 no se generó el pago del anticipo, no obstante este será cancelado una vez contemos 
con la liquidación final de la contribución 2022.</t>
  </si>
  <si>
    <t>Respuesta Numero de radicado S2022003386 - 2022-08-26 Requerimiento e inicio del cobro persuasivo 1-2022 saldo de cartera de contribución especial Res213_21.pdf</t>
  </si>
  <si>
    <t>Respuesta a la solicitud de la Actuación Administrativa iniciada I2022007106</t>
  </si>
  <si>
    <t>las estructuras orientadoras y los modelos simplificados para las unidades de servicio 
de distribución y comercialización de gas natural. Además, con el fin de dar una mejor precisión 
a los costos a ser asignados a cada actividad, la norma incluye la Librería de Actividades Servicio 
Gas Combustible. Es con base en este marco conceptual que la empresa reporta los costos, 
directos e indirectos, tanto a la SSPD como a la CREG cuando ésta lo solicita, tal como es el caso 
de la Circular 065 de 2017</t>
  </si>
  <si>
    <t>144 - Actuación Administrativa I2022007106 Expediente Gasoriente_vfinal.pdf</t>
  </si>
  <si>
    <t>79_05_2023_RTA GOR_144 - Actuación Administrativa I2022007106 Expediente Gasoriente_vfinal</t>
  </si>
  <si>
    <t>Respuesta a la solicitud de la Actuación Administrativa iniciada I2022007103</t>
  </si>
  <si>
    <t>028-2022 Vanti CREG Solicitud de tercero interesado- 099-2021\028-2022 Vanti CREG Solicitud de tercero interesado- 099-2021.pdf</t>
  </si>
  <si>
    <t>Respuesta Radicado No. 20222314120721– Requerimiento de información estación de
servicio EDS Puerta del So</t>
  </si>
  <si>
    <t>Se solicita información en relación. la atención a estas emergencias quedó registrado bajo los eventos C102060963, C102086543 y C102064926. Se adjunta a este comunicado. Con relación a esta situación, la empresa Vanti S.A. ESP dentro de acuerdos realizados con la 
comunidad ofreció pagar los estudios a fin de determinar el origen de los olores ofensivos acorde a las solicitudes del Colegio Departamental Sabio Mutis
con las posibles fugas cercanos a la Institución Educativa Departamental Sabio Mutis del 
Municipio de La Mesa – Cundinamarca</t>
  </si>
  <si>
    <t>X:\CONSECUTIVOS\2022\Regulacion\132\20222314120721.pdf</t>
  </si>
  <si>
    <t>X:\CONSECUTIVOS\2022\Regulacion\132\132-09-2022 -Respuesta SSPD Radicado  20222314120721.docx</t>
  </si>
  <si>
    <t>Propuestas para el Plan Nacional de Desarrollo 2022-2026</t>
  </si>
  <si>
    <t>X:\CONSECUTIVOS\2022\Regulacion\131\131-09-2022 Propuestas para el Plan Nacional de Desarrollo 2022-2026.pdf</t>
  </si>
  <si>
    <t xml:space="preserve">Respuesta Radicado No. 20222304046311– Requerimiento de información medidores </t>
  </si>
  <si>
    <t xml:space="preserve">Se solicita información de los medidores en Colombia, atentamente nos permitimos remitir la información para cada uno de los municipios atendidos por GAS NATURAL CUNDIBOYACENSE SA ESP. </t>
  </si>
  <si>
    <t>X:\CONSECUTIVOS\2022\Regulacion\136\20222304046311 - Requerimiento Medidores.pdf</t>
  </si>
  <si>
    <t>X:\CONSECUTIVOS\2022\Regulacion\134\134-09-2022 -Respuesta SSPD Radicado  20222304046311.docx</t>
  </si>
  <si>
    <t>X:\CONSECUTIVOS\2022\Regulacion\135\135-09-2022 -Respuesta SSPD Radicado  20222304046311.docx</t>
  </si>
  <si>
    <t>X:\CONSECUTIVOS\2022\Regulacion\136\136-09-2022 -Respuesta SSPD Radicado  20222304046311.docx</t>
  </si>
  <si>
    <t>Comentarios de Vanti a la versión 2 de los DSI publicados a través de la circular externa 071 de 2022. 
SELECCIÓN DE UN INVERSIONISTA PARA LA PRESTACIÓN DEL SERVICIO DE ALMACENAMIENTO DE GNL, 
REGASIFICACIÓN, TRANSPORTE DE GAS NATURALY SERVICIOS ASOCIADOS DE LA INFRAESTRUCTURA DE 
IMPORTACIÓN DE GAS
DEL PACÍFICO.</t>
  </si>
  <si>
    <t>Como comentario general,e para 
varios de los tramos de gasoductos las demandas proyectadas son considerablemente inferiores a las que 
se han observado en los últimos años y a las proyecciones de crecimiento que tenemos las empresas. Este 
hecho hace que sea de bastante relevancia, para poder hacer un análisis integral poder conocer los supuestos en detalle que ha utilizado el transportador para realizar sus proyecciones.</t>
  </si>
  <si>
    <t>X:\CONSECUTIVOS\2022\Regulacion\125\Circular068-2022.pdf</t>
  </si>
  <si>
    <t>X:\CONSECUTIVOS\2022\Regulacion\123-08-2022 Verificación tarifaria junio 2022\123-08-2022 Comentarios pliegos Planta del Pacífico.pdf</t>
  </si>
  <si>
    <t>X:\CONSECUTIVOS\2022\Regulacion\123-08-2022 Verificación tarifaria junio 2022\Requerimiento verificación tarifaria 20222312934301_abr.xlsx</t>
  </si>
  <si>
    <t>Comentarios sobre proyecciones de demanda Circular CREG 068 de 2022: “PUBLICACIÓN DE LAS 
DEMANDAS ESPERADAS DE CAPACIDAD Y DE VOLUMEN, ASÍ COMO DE LA CAPACIDAD TOTAL 
CONTRATADA QUE DECLARÓ TGI S.A. E.S.P., DE ACUERDO CON EL PROCEDIMIENTO PREVISTO EN LA RESOLUCIÓN CREG 175 DE 2021”</t>
  </si>
  <si>
    <t>X:\CONSECUTIVOS\2022\Regulacion\125\125-08-2022 Comentarios Circular 68 2022.docx</t>
  </si>
  <si>
    <t>Circular CREG 068 de 2022</t>
  </si>
  <si>
    <t>Demanda Promioriente</t>
  </si>
  <si>
    <t>Si bien la declaración de producción de Ecopetrol para el campo Gibraltar muestra que dicho campo deja de producir gas a partir del año 2029, lo que se observa en la prospectividad de la zona es que aún existen recursos importantes de gas natural por ser descubiertos y desarollados en esta zona que guarda similitud geológica con la zona de producción del piedemonte. En este sentido, no es coherente pronosticar un agotamiento abrupto en la fuente Gibraltar, y por ende, tampoco es coherente proyectar que este tramo no tendrá demanda a partir de 2029. Esto llevaría a incrementar la tarifa en este tramo, siendo aún más costosa de lo que es hoy en día, e inviabilizando cualquier nuevo gas que eventualmente pueda ser desarrollado en esta zona del país.</t>
  </si>
  <si>
    <t>Comentarios_demandasPromioriente.xlsx</t>
  </si>
  <si>
    <t>De acuerdo con el desarrollo hidrocarburífero que tiene el país proveniente de diversas fuentes en Ballena, no es congruente que se proyecte una disminución de la demanda en este tramo. Vale la pena observar que para el tramo Ballena-Barranca, TGI sí proyecta un aumento de demanda en este tramo a partir de 2028. En este sentido, el tramo Ballena-La Mami debería converger con los supuestos que el otro transportador está utilizando. Si el gas se encuentra en Ballena, va a fluir hacia la costa como para el interior.
Proyectar una demanda tan baja hará que la tarifa se incremente y se pierdan los esfuerzos por interconectar los mercados costa e interior del país.</t>
  </si>
  <si>
    <t>Promigas</t>
  </si>
  <si>
    <t>Comentarios_demandasPromigas.xlsx</t>
  </si>
  <si>
    <t xml:space="preserve">Comentarios demanda Transmilenio </t>
  </si>
  <si>
    <t>En este gasoducto se proyecta una caída importante de la demanda a partir de 2026, pasando de aprox. 55 MPCD a 17 MPCD. Si bien se pueden estar dando señales de la construcción de otro tramo que conectaría a Jobo con Medellín, este aún no se ha concretado y no hay certeza de su ejecución, ni en qué punto del SNT se conectaría. Por lo tanto, la proyección de demanda en este gasoducto debería mantenerse e inclusive incrementar de acuerdo con las proyecciones de la UPME para la región del Noroeste del país.</t>
  </si>
  <si>
    <t>Comentaios\Comentarios_demandasTransmetano.xlsx</t>
  </si>
  <si>
    <t xml:space="preserve">Respuesta Radicado No. 20222313558151 – Requerimiento de información por evento en Campo Apiay de suministro de gas. </t>
  </si>
  <si>
    <t>Se solicita información relacionada conde un evento de suministro de gas por fuera de las condiciones RUT desde el campo de producción Apiay. no se tiene contrato de suministro de fuente APIAY. Nuestros contratos de suministro son de fuente Cusiana/Cupiagua. la demanda de Bogotá fue atendida con normalidad.</t>
  </si>
  <si>
    <t>X:\CONSECUTIVOS\2022\Regulacion\129\129-08-2022 Respuesta al requierimiento 20222313558151 por evento en Campo Apiay.docx</t>
  </si>
  <si>
    <t>Respuesta Radicado No. 20222313579771 – Requerimiento de información Calidad de la información 
cargada en el año 2021 al Sistema Único de Información -SUI</t>
  </si>
  <si>
    <t>Se solicita información en relación con Calidad de la información cargada en el año 2021 al Sistema Único de Información -SUI de acuerdo con los lineamientos 
establecidos en la Circular Conjunta CREG -SSPD No -01 de 2006 y en la resolución CREG 100 de 2003</t>
  </si>
  <si>
    <t>X:\CONSECUTIVOS\2022\Regulacion\128\20222313579771.pdf</t>
  </si>
  <si>
    <t>X:\CONSECUTIVOS\2022\Regulacion\126\126-08-2022 Respuesta al requerimeinto 20222313581611.docx</t>
  </si>
  <si>
    <t>resolución CREG 100 de 2003</t>
  </si>
  <si>
    <t>X:\CONSECUTIVOS\2022\Regulacion\127\127-08-2022 Respuesta al requerimiento 20222313579391.docx</t>
  </si>
  <si>
    <t>X:\CONSECUTIVOS\2022\Regulacion\128\128-08-2022 Respuesta al requerimiento 20222313579771.pdf</t>
  </si>
  <si>
    <t>Respuesta Radicado No. 20222313510581 – Requerimiento de información por suspensiones en el servicio de gas natural en Bogotá.</t>
  </si>
  <si>
    <t>Se adjunta a este comunicado, soporte del evento y formato de atención de la emergencia. Cabe resaltar 
que la información fue reportada en el reporte T2 RESPUESTA SERVICIO TECNICO del mes de julio de 2022, se dispone de la línea de atención telefónica de emergencias las 24 horas, los 365 días 
del año para informar casos de emergencias como fugas, intoxicación, roturas de la red, incendios y 
explosiones asociadas al uso de gas natural.</t>
  </si>
  <si>
    <t>118\118-08-2022 Respuesta al requierimiento 20222313510581 suspensiones en el servicio de gas natural en Bogotá_.docx</t>
  </si>
  <si>
    <t xml:space="preserve">Radicación al correo de servicio al cliente Respuesta tardia </t>
  </si>
  <si>
    <t xml:space="preserve">Comentarios sobre proyecciones de demanda Circular CREG 072 de 2022: “PUBLICACIÓN DE LAS DEMANDAS ESPERADAS DE CAPACIDAD Y DE VOLUMEN, ASÍ COMO DE LA CAPACIDAD TOTAL CONTRATADA QUE DECLARÓ PROMIORIENTE S.A. E.S.P., DE ACUERDO CON EL PROCEDIMIENTO PREVISTO EN LA RESOLUCIÓN CREG 175 DE 2021”
</t>
  </si>
  <si>
    <t>definir demandas por tramos con la incertidumbre que genera la declaración de producción y las opciones de importación.  Es por lo anterior, y tal como lo prevé la Resolución CREG 175 de 2021 que pedimos se estudie la aplicación de un escenario general de agregación de tramos, el cual minimizaría el impacto que puede tener para la demanda las distorsiones que generan las proyecciones conservadoras por parte de los transportadores. De esta forma se observará el beneficio que tiene migrar hacia ese esquema que reducirá la complejidad de aplicación e irá en pro de los usuarios finales.</t>
  </si>
  <si>
    <t>Comentarios Circu-lar 72-2022_DemandaPromioriente.pdf</t>
  </si>
  <si>
    <t>Solicitud intervención tercero interesado actuación administrativa promovida por Transmetano S.A. E.S.P.</t>
  </si>
  <si>
    <t>https://grupovanti.sharepoint.com/:b:/r/sites/GerenciadeRegulacin/Shared%20Documents/General/2023/Regulaci%C3%B3n/09-01-2023%20Treceri%20interesado%20actuaci%C3%B3n%20adiministrativa%20Trabsmetano/Solicitud%20reconocimiento%20tercero%20Vanti%20-%20Transmetano%20-10-01-2022.pdf?csf=1&amp;web=1&amp;e=5gmIii</t>
  </si>
  <si>
    <t>Solicitud intervención tercero interesado actuación administrativa promovida por Promigas S.A. E.S.P.</t>
  </si>
  <si>
    <t>https://grupovanti.sharepoint.com/:b:/r/sites/GerenciadeRegulacin/Shared%20Documents/General/2023/Regulaci%C3%B3n/10-01-2023%20%20Tercero%20interesado%20actuaci%C3%B3n%20administrativa%20%20Promigas%20S.A.%20E.S.P/2.%20Solicitud%20reconocimiento%20tercero%20Vanti%20-%20Promigas%20-10-01-2022.pdf?csf=1&amp;web=1&amp;e=gnhaxT</t>
  </si>
  <si>
    <t>Respuesta Radicado No. 20222313386021 – Requerimiento de información factor de 
corrección cuenta suscriptor 63255054</t>
  </si>
  <si>
    <t>117\117-08-2022 Respuesta al requerimeinto 20222313389851.pdf</t>
  </si>
  <si>
    <t>Respuesta Radicado No. 20222313390091– Requerimiento de información tarifaria 
periodo mayo de 2022</t>
  </si>
  <si>
    <t>Se solicita información en relación con las facturas de suministro y transporte e información tarifaria para el periodo de mayo de 2022,e consideramos 
pertinente para sus actividades de validación de información, de igual manera, en la plantilla
donde se reportó la información de suministro y transporte fueron incluidas nuevas columnas 
con información adicional que sirva de apoyo para su análisis.</t>
  </si>
  <si>
    <t>112-07-2022 Respuesta SSPD - Verifiación tarifaria mayo\may\20222313390091.pdf</t>
  </si>
  <si>
    <t>112-07-2022 Respuesta SSPD - Verifiación tarifaria mayo\may\112 -Respuesta SSPD Radicado 20222313390091 Vanti_may.pdf</t>
  </si>
  <si>
    <t>Comentarios Vanti a la Resolución 702 005 de 2022</t>
  </si>
  <si>
    <t>Insistimos en que conforme al principio de Equidad debe darse un trato igual a los iguales y desigual a los desiguales, esto es, que todas las personas que se coloquen en el mismo supuesto jurídico de causación, deben de atender a su obligación de contribuir en los mismos términos. Así, todas las empresas vigiladas por la SSPD, deben recibir igual trato frente a la determinación de sus deberes ante la entidad, y esta debe proceder en consecuencia de cara a la recuperación de los costos de los servicios que les presten o participación en los beneficios que les proporcionen a los prestadores.</t>
  </si>
  <si>
    <t>108-06-2022 Carta Vanti comentarios CREG 702 005 enviar\108-06-2022 Carta Vanti comentarios CREG 702 005 enviar.pdf</t>
  </si>
  <si>
    <t>: Respuesta radicado S-2022-002241 Reporte de información de gastos AOM</t>
  </si>
  <si>
    <t>la Comisión no pudo almacenar en la 
plataforma ICR la información de gastos AOM, solicitada mediante Circular CREG 114 de 2019 y 052 de 
2021, por contener valores negativos en las plantillas 503 Costos de Distribución y 504 Costos de 
Comercialización</t>
  </si>
  <si>
    <t>119\119 - Respuesta radicado S-2022-002247 Reporte de información de gastos AOM_GOR.pdf</t>
  </si>
  <si>
    <t>120\120 - Respuesta Reporte de información de gastos AOM_Cundi.pdf</t>
  </si>
  <si>
    <t>121\121 - Respuesta radicado S-2022-002241 Reporte de información de gastos AOM_Vanti.pdf</t>
  </si>
  <si>
    <t>Reporte de información de gastos AOM</t>
  </si>
  <si>
    <t>122\122 - Respuesta Reporte de información de gastos AOM_Gasnacer.pdf</t>
  </si>
  <si>
    <t xml:space="preserve">Solicitud de aclaración Artículo 17 de la Resolución CREG 102  003 de 2022 </t>
  </si>
  <si>
    <t xml:space="preserve">Solicitamos a la CREG, bajo el entendimiento y premisa obvia de que el hecho de poder efectuar el cálculo de dicho costo a trasladar vía tarifa, corresponde a que efectivamente las contribuciones adicionales años 2020 y 2021 se hayan pagado, aclarar que el cálculo del costo mensual de la Contribución Adicional de que trata el Artículo 314 de la Ley 1955 de 2019, corresponderá para el primer año de aplicación del cargo, a la contribución adicional liquidada, ejecutoriada y pagada respecto del año 2020; y para el segundo año, a la liquidada, ejecutoriada y pagada respecto del año 2021. </t>
  </si>
  <si>
    <t>107-06-2022 Solicitud de aclaración Artículo 17 de la Resolución CREG 102  003 de 2022\Creg102-003.pdf</t>
  </si>
  <si>
    <t>107-06-2022 Solicitud de aclaración Artículo 17 de la Resolución CREG 102  003 de 2022\107-06-2022 Solicitud de aclaración Artículo 17 de la Resolución CREG 102  003 de 2022.docx</t>
  </si>
  <si>
    <t>AERG</t>
  </si>
  <si>
    <t>Con relación a su evaluación correspondiente a la Auditoría Externa de Gestión y Resultados de Vanti S.A. E.S.P., por el año terminado al 31 de diciembre de 2021, confirmamos a nuestro leal saber y entender, a la fecha de esta carta</t>
  </si>
  <si>
    <t>103 - Carta de manifestación AEGR 2021_Gasoriente\103 - Carta de manifestación AEGR 2021_Gasoriente.docx</t>
  </si>
  <si>
    <t>104 - Carta de manifestación AEGR 2021_Cundi\104 - Carta de manifestación AEGR 2021_Cundi.docx</t>
  </si>
  <si>
    <t>105 - Carta de manifestación AEGR 2021_Gasnacer\105 - Carta de manifestación AEGR 2021_Gasnacer.docx</t>
  </si>
  <si>
    <t xml:space="preserve"> Comentarios al proyecto de resolución tarifa de la contribución especial para el año 2022 </t>
  </si>
  <si>
    <t>En relación con el proyecto de resolución por la cual se establece el monto de la tarifa de la contribución 
especial para el año 2021 a la cual se encuentran sujetos los prestadores de servicios públicos domiciliarios 
y/o quienes desarrollen las actividades complementarias a dichos servicios, definidas en las leyes 142 y 
143 de 1994, nos permitimos manifestar los siguientes comentarios</t>
  </si>
  <si>
    <t>109-06-2022 Comentarios al proyecto de resolución tarifa de la contribución especial para el año 2022\Comentarios Resolución contribuciones 2022 sspd.pdf</t>
  </si>
  <si>
    <t xml:space="preserve">Comentarios al proyecto de resolución tarifa de la contribución especial para el año 2022 </t>
  </si>
  <si>
    <t>se establece el monto de la tarifa de la contribución especial para el año 2021 a la cual se encuentran sujetos los prestadores de servicios públicos domiciliarios y/o quienes desarrollen las actividades complementarias a dichos servicios, definidas en las leyes 142 y 143 de 1994, nos permitimos manifestar los siguientes comentarios.</t>
  </si>
  <si>
    <t>111\111-06-2022 Comentarios al proyecto de resolución tarifa de la contribución especial para el año 2022.docx</t>
  </si>
  <si>
    <t>Comentarios Grupo Vanti Proyecto de resolución "Por la cual se solicita la adopción de medidas en 
relación con la Oferta Pública de Cantidades de GLP para el segundo semestre de 2022"</t>
  </si>
  <si>
    <t>Ecopetrol es el agente más grande en los mercados mayoristas de GLP y Gas Natural, sin embargo, se está procurando una reducción de precios, solamente en el mercado de GLP. En este sentido, solicitamos que se revisen las señales regulatorias que se están dando, para que se continúe con la política exitosa de trato equitativo de estos dos energéticos, complementarios y en competencia, que ha tenido el gobierno hasta ahora</t>
  </si>
  <si>
    <t>092-06-2022 Comentarios Grupo Vanti Proyecto de resolución Por la cual se solicita la adopción de medidas en relación con la Oferta Publica de Cantidades de GLP para el segundo semestre de 2022</t>
  </si>
  <si>
    <t xml:space="preserve"> Respuesta Radicado No. 20222312756431 – Requerimiento de información estación de servicio EDS Puerta del Sol.</t>
  </si>
  <si>
    <t>se solicita información en relación con la visita realizada a las instalaciones de la estación de servicio EDS Puerta del Sol.</t>
  </si>
  <si>
    <t>093-06-2022 -Respuesta SSPD Radicado 20222312756431 EDS Puerta del Sol\120222312756431_00001.pdf</t>
  </si>
  <si>
    <t>093-06-2022 -Respuesta SSPD Radicado 20222312756431 EDS Puerta del Sol\093-06-2022 -Respuesta SSPD Radicado 20222312756431 EDS Puerta del Sol.docx</t>
  </si>
  <si>
    <t xml:space="preserve">Criterios reporte de información en Apligas para expedientes de comercialización de Vanti S.A. E.S.P. </t>
  </si>
  <si>
    <t xml:space="preserve"> Comunicación aclarando los criterios que usamos para el reporte de información. se realiza el cargue de las plantillas por cada empresa con la información de cada mercado por separado.</t>
  </si>
  <si>
    <t>094-06-2022-Criterios reporte de información en Apligas para expedientes de comercialización de Vanti S.A. E.S.P\Carta CREG Apligas Vanti.docx</t>
  </si>
  <si>
    <t xml:space="preserve">Criterios reporte de información en Apligas para expedientes de comercialización de Gas Natural del Oriente S.A. E.S.P. </t>
  </si>
  <si>
    <t>095-06-2022 Criterios reporte de información en Apligas para expedientes de comercialización de Gas Natural del Oriente S.A. E.S.P\Carta CREG Apligas Gasoriente.docx</t>
  </si>
  <si>
    <t xml:space="preserve">Criterios reporte de información en Apligas para expedientes de comercialización de Gas Natural del Cesar S.A. E.S.P. 
</t>
  </si>
  <si>
    <t>096-06-2022- Criterios reporte de información en Apligas para expedientes de comercialización de Gas Natural del Cesar S.A. E.S.P\Carta CREG Apligas Gasnacer.docx</t>
  </si>
  <si>
    <t>Criterios reporte de información en Apligas para expedientes de comercialización de Gas Natural Cundiboyacense S.A. E.S.P</t>
  </si>
  <si>
    <t>097-06-2022 Criterios reporte de información en Apligas para expedientes de comercialización de Gas Natural Cundiboyacense S.A. E.S.P\Carta CREG Apligas GNCB.docx</t>
  </si>
  <si>
    <t>Respuesta Radicado No. 20222302980901 – Requerimiento de información reportes de información 
al Sistema único de Información SUI</t>
  </si>
  <si>
    <t>Informes relacionados Formatos Financieros - Grupo 1 2020 Individual, Flujo de Efectivo Directo - Grupo 1 2021 
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t>
  </si>
  <si>
    <t>098-06-2022 -Respuesta SSPD Radicado 20222302980901 Reportes SUI\098-06-2022 -Respuesta SSPD Radicado 20222302980901 Reportes SUI.pdf</t>
  </si>
  <si>
    <t>099-06-2022 -Respuesta SSPD Radicado 20222302981321 Reportes SUI GNCB\099-06-2022 -Respuesta SSPD Radicado 20222302981321 Reportes SUI GNCB.pdf</t>
  </si>
  <si>
    <t>100-06-2022 -Respuesta SSPD Radicado 20222302980891 Reportes SUI GNCR\100-06-2022 -Respuesta SSPD Radicado 20222302980891 Reportes SUI GNCR.pdf</t>
  </si>
  <si>
    <t>101-06-2022 -Respuesta SSPD Radicado 20222302980901 Reportes SUI GOR\101-06-2022 -Respuesta SSPD Radicado 20222302980901 Reportes SUI GOR.pdf</t>
  </si>
  <si>
    <t>Respuesta Radicado No. 20222312934301 – Requerimiento de información tarifaria 
periodo abril de 2022</t>
  </si>
  <si>
    <t>Se solicita información en relación con las facturas de suministro y transporte e información tarifaria para el periodo de abril de 2022.Informamos que a la fecha no se han firmado nuevos contratos de suministro y transporte para la atención del servicio de los mercados relevantes atendidos por Vanti S.A. ESP.</t>
  </si>
  <si>
    <t>106 -Respuesta SSPD Radicado 20222312934301 Vanti_abr\106 -Respuesta SSPD Radicado 20222312934301 Vanti_abr.pdf</t>
  </si>
  <si>
    <t>Información Resolución CREG 137 de 2013</t>
  </si>
  <si>
    <t>De conformidad con lo establecido en el literal C del artículo 5.1.1 de la Resolución CREG 137 de 2013, nos permitimos enviar la información de consumos históricos diarios de los usuarios regulados del mercado relevante conformado por los municipios de Boyacá, Cundinamarca y Santander, atendido por la empresa Gas Natural Cundiboyacense S.A. ESP para la vigencia 2020 y 2021</t>
  </si>
  <si>
    <t>088-Información Resolución CREG 137 de 2013_Vanti S.A. ESP\088-Información Resolución CREG 137 de 2013_Vanti S.A. ESP.pdf</t>
  </si>
  <si>
    <t>De conformidad con lo establecido en el literal C del artículo 5.1.1 de la Resolución CREG 137 de 2013, nos permitimos enviar la información de consumos históricos diarios de los usuarios regulados del mercado relevante conformado por los municipios de Bogotá, Soacha y Sibaté, atendido por la empresa Vanti S.A. ESP para la vigencia 2020 y 2021</t>
  </si>
  <si>
    <t>Comentarios Vanti a la Resolución CREG 226 de 2021.</t>
  </si>
  <si>
    <t xml:space="preserve">Mediante la presente comunicación, Vanti remite sus comentarios a la resolución en consulta, Resolución CREG 226 de 2021 “Por la cual se reglamentan aspectos comerciales </t>
  </si>
  <si>
    <t>084-05-2022 Comentarios Resolución CREG 226 DE 2021\084-05-2022 Comentarios Vanti a la Resolución CREG 226 de 2021..pdf</t>
  </si>
  <si>
    <t>Comentarios Resolución CREG 227 de 2021</t>
  </si>
  <si>
    <t>Mediante la presente, las empresas del grupo Vanti (Vanti S.A. ESP, Gas Natural Cundiboyacense S.A. ESP, 
Gasnacer S.A. ESP y Gasoriente S.A. ESP), en adelante Vanti, remiten sus comentarios sobre la propuesta 
regulatoria contenida en el acto administrativo del asunto</t>
  </si>
  <si>
    <t>085-05-2022 Comentarios Resolución CREG 227 de 2021\085-05-2022 Comentarios Resolución CREG 227 de 2021.pdf</t>
  </si>
  <si>
    <t>Comentarios Vanti a la Resolución CREG 702-002</t>
  </si>
  <si>
    <t>omo comentario general, Vanti acompaña los objetivos expuestos; sin embargo, en cuanto al segundo 
objetivo, observamos varios aspectos a considerar</t>
  </si>
  <si>
    <t>086-05- 2022 Comentarios  Vanti a la Resolución CREG 702-002\086-05- 2022 Comentarios  Vanti a la Resolución CREG 702-002..pdf</t>
  </si>
  <si>
    <t>Solicitud de notificación personal</t>
  </si>
  <si>
    <t>Mediante la presente, en concordancia con el artículo 56 del Código de Procedimiento 
Administrativo y de lo Contencioso Administrativo, cordialmente se solicita que las notificaciones 
que se hagan a la empresa, en lo sucesivo y a partir de la fecha de recibo de esta comunicación, no 
se realicen por medios electrónicos, sino mediante notificación personal.</t>
  </si>
  <si>
    <t>080-05-2022 Solicitud de notificación personal GOR\080-05-2022 Solicitud de notificación personal GOR.pdf</t>
  </si>
  <si>
    <t>081-05-2022 Solicitud de notificación personal GNCR\081-05-2022 Solicitud de notificación personal GNCR.pdf</t>
  </si>
  <si>
    <t>082-05-2022 Solicitud de notificación personal VANTI</t>
  </si>
  <si>
    <t>083-05-2022 Solicitud de notificación personal GNCB\083-05-2022 Solicitud de notificación personal GNCB.pdf</t>
  </si>
  <si>
    <t>Respuesta Requerimiento 20222311808081- Calidad de información SUI de GAS NATURAL DEL ORIENTE SA ESP.- Tercer Trimestre de 2021.</t>
  </si>
  <si>
    <t>uperintendencia de Servicios Públicos Domiciliarios solicita revisar la información de Subsidios y Contribuciones reportada en el Sistema Único de Información – SUI – y al Ministerio de Minas y Energía para el Tercer Trimestre del año 2021.</t>
  </si>
  <si>
    <t>079-05-2022 Respuesta Requerimiento 20222311808081-  calidad de información SUI de GAS NATURAL DEL ORIENTE SA ESP.- Tercer Trimestre de 2021</t>
  </si>
  <si>
    <t>Volúmenes presentados expediente tarifario Gas Natural Cundiboyacense</t>
  </si>
  <si>
    <t>Resolución CREG 175 del 2021. olicitamos comedidamente a TGI realizar la aclaración a la CREG de las 
cifras presentadas con base en lo expuesto. Agradecemos copiarnos en la comunicación que se envíe a la Comisión con las aclaraciones respectivas.</t>
  </si>
  <si>
    <t>X:\CONSECUTIVOS\2022\Regulacion\130\130-09-2022 Solicitud de información TGI.pdf</t>
  </si>
  <si>
    <t>Resolución CREG 175 del 2021</t>
  </si>
  <si>
    <t>Respuesta Radicado No. 20222312081671 – Requerimiento de información tarifaria 
periodo marzo de 2022</t>
  </si>
  <si>
    <t>se solicita información en relación con las facturas de suministro y transporte e información tarifaria para el periodo de marzo de 2022</t>
  </si>
  <si>
    <t>078 -Respuesta SSPD Radicado 20222312081671 Vanti_mar\078 -Respuesta SSPD Radicado 20222312081671 Vanti_mar.pdf</t>
  </si>
  <si>
    <t>Fondo de Solidaridad y Redistribución de Ingresos – Conciliación II trimestre de 2022.</t>
  </si>
  <si>
    <t xml:space="preserve">Dando cumplimiento al artículo 2° del Decreto 201 del 27 de enero de 2004 y a la circular 045 del 9 de julio de 2004, anexo estamos remitiendo la información correspondiente a la conciliación de subsidios y contribuciones facturadas del período abril a junio de 2022.
</t>
  </si>
  <si>
    <t>113-07-2022 MME Conciliacion Subsidios y Contribucion II Trim\113-07-2022 REPORTE FONDO DE SOLIDARIDAD GOR SA ESP.docx</t>
  </si>
  <si>
    <t xml:space="preserve">Dando cumplimiento al artículo 2° del Decreto 201 del 27 de enero de 2004 y a la circular 045 del 9 de julio de 2004, anexo estamos remitiendo la información correspondiente a la conciliación de subsidios y contribuciones facturadas del período abril a junio de 2022.
</t>
  </si>
  <si>
    <t>114-07-2022 MME Conciliacion Subsidios y Contribuciones II TRIM\114-07-2022 REPORTE FONDO DE SOLIDARIDAD GNCR SA ESP.docx</t>
  </si>
  <si>
    <t>115-07-2022 MME Conciliacion Subsidios y Contribiciones II TRIM\115-07-22-REPORTE FONDO DE SOLIDARIDAD VANTI SA ESP.docx</t>
  </si>
  <si>
    <t>116-07- 2022 MME Conciliacion Subsidios y Contribuciones II Trim\116-07-2022-REPORTE FONDO DE SOLIDARIDAD GNCB SA ESP.docx</t>
  </si>
  <si>
    <t>Fondo de Solidaridad y Redistribución de Ingresos – Conciliación I trimestre de 2022.</t>
  </si>
  <si>
    <t>Dando cumplimiento al artículo 2° del Decreto 201 del 27 de enero de 2004 y a la circular 045 del 9 de julio de 2004, anexo estamos remitiendo la información correspondiente a la conciliación de subsidios y contribuciones facturadas del período enero a marzo de 2022</t>
  </si>
  <si>
    <t>068-04-2022 MME Conciliacion Subsidios y Contribucion I Trim\068-04-2022 REPORTE FONDO DE SOLIDARIDAD GOR SA ESP.docx</t>
  </si>
  <si>
    <t>069-04-2022 MME Conciliacion Subsidios y Contribuciones I TRIM\069-04-2022 REPORTE FONDO DE SOLIDARIDAD GNCR SA ESP.pdf</t>
  </si>
  <si>
    <t>070-04-2022 MME Conciliacion Subsidios y Contribiciones I TRIM\070-04-22-REPORTE FONDO DE SOLIDARIDAD VANTI SA ESP.pdf</t>
  </si>
  <si>
    <t>071-04-2022 MME Conciliacion Subsidios y Contribuciones I Trim\071-04-2022-REPORTE FONDO DE SOLIDARIDAD GNCB SA ESP.pdf</t>
  </si>
  <si>
    <t>Respuesta Radicado No. 20222311760441 – Requerimiento de información tarifaria 
periodo enero y febrero de 2022</t>
  </si>
  <si>
    <t>Se solicita información para verificar los cálculos de los componentes de Suministro (G), Transporte (T), Distribución (D) y Comercialización (C) conforme a lo establecido en la Resolución CREG - 137 de 2013 para los mercados relevantes atendidos por la Compañía, e información sobre los compromisos acordados en la reunión del 7 de abril de 2022</t>
  </si>
  <si>
    <t>072-04-2022 SSPD verificación tarifaria ene y feb GOR\072-04-2022-Respuesta SSPD Radicado 20222311760441_GOR.pdf</t>
  </si>
  <si>
    <t>Respuesta Radicado No. 20222311861031 – Solicitud información Indicadores de Gestión 
Año 2021 -Resolución CREG 072 de 2002.</t>
  </si>
  <si>
    <t>se solicita información base para el cálculo de los indicadores de gestión de acuerdo con lo establecido en la Resolución CREG 072 de 2002, a continuación</t>
  </si>
  <si>
    <t>073 -Respuesta requerimiento 20222311860301 Indicadores CREG 072_ GNCR\073 -Respuesta requerimiento 20222311860301 Indicadores CREG 072 de 2002_GNC.pdf</t>
  </si>
  <si>
    <t>074 -Respuesta requerimiento 20222311861021 Indicadores CREG 072\074 -Respuesta requerimiento 20222311861021 Indicadores CREG 072 de 2002_Cundi.pdf</t>
  </si>
  <si>
    <t>X:\CONSECUTIVOS\2022\Regulacion\075- Respuesta requerimiento 20222311861031 Indicadores CREG 072\075- Respuesta requerimiento 20222311861031 Indicadores CREG 072 de 2002_Vanti.pdf</t>
  </si>
  <si>
    <t>Respuesta Radicado No. 20222311861041 – Solicitud información Indicadores de 
Gestión Año 2021 -Resolución CREG 072 de 2002.</t>
  </si>
  <si>
    <t>e solicita información base para el 
cálculo de los indicadores de gestión de acuerdo con lo establecido en la Resolución CREG 072 de 
2002</t>
  </si>
  <si>
    <t>X:\CONSECUTIVOS\2022\Regulacion\76-04-2022Respuesta Radicado No. 20222311861041 – Solicitud información Indicadores de Gestión Año 2021 -Resolución CREG 072 de 2002\076-Respuesta requerimiento 20222311861041 Indicadores CREG 072 de 2002_GOR.pdf</t>
  </si>
  <si>
    <t>Respuesta al requerimiento 20222311656891- Calidad de información SUI – Tercer trimestre de 2021</t>
  </si>
  <si>
    <t>En atención al comunicado enunciado en el asunto, donde se solicita una copia del contrato vigente 
suscrito con la firma de AEGR nos permitimos informar que este se tiene suscrito con la firma KPMG 
DVISORY TAX &amp; LEGAL SAS, se adjunta a esta comunicación el contrato No 4600001349 dando 
cumplimiento a lo establecido en el artículo 51 de la Ley 142 de 1994, modificado por el artículo 6 
de la Ley 689 de 2001.</t>
  </si>
  <si>
    <t>063_04_2022 Respuesta al requerimiento 20222311656891 v1\063_04_2022 Respuesta al requerimiento 20222311656891.pdf</t>
  </si>
  <si>
    <t>Respuesta al requerimiento 20222311663491- Calidad de información SUI – Tercer trimestre de 2021</t>
  </si>
  <si>
    <t>En conclusión, la diferencia ilustrada por la SSPD, se debió a 1. La diferencia en el balance: se debió a una corrección que se 
dio en los trámites regulares de conciliación con el MME y 2. La diferencia en la cifra de contribuciones: se dio debido al 
tratamiento diferenciado que tiene el giro de otros comercializadores en el SUI y el MME. Finalmente, la certificación del 
Auditor Externo de Gestión de Resultados se enviará a la SSPD, dando alcance a esta comunicación, una vez se tenga 
disponible. En todo caso, quedamos a su entera disposición para resolver las dudas sobre el asunto que nos ocupa y/o ampliar 
la información que la SSPD considere necesaria.</t>
  </si>
  <si>
    <t>064_04_2022 Respuesta al requerimiento 20222311663491 v1 - revisión LJML\064_04_2022 Respuesta al requerimiento 20222311663491 v1 - revisión LJML.pdf</t>
  </si>
  <si>
    <t>Respuesta Radicado No. 20222301777201– Copia contrato de Auditoría Externa de Gestión 
y Resultados</t>
  </si>
  <si>
    <t>062-02-2022 Respuesta Requerimiento 20222301777201 copia contrato AERG\062-02-2022 Respuesta Requerimiento 20222301777201 copia contrato AERG.pdf</t>
  </si>
  <si>
    <t>Respuesta Radicado No. 20222301777241 – Copia contrato de Auditoría Externa de 
Gestión y Resultados</t>
  </si>
  <si>
    <t>se solicita una copia del contrato 
vigente suscrito con la firma de AEGR nos permitimos informar que este se tiene suscrito con la 
firma KPMG DVISORY TAX &amp; LEGAL SAS, se adjunta a esta comunicación el contrato No 
4600001350 dando cumplimiento a lo establecido en el artículo 51 de la Ley 142 de 1994, 
modificado por el artículo 6 de la Ley 689 de 2001.</t>
  </si>
  <si>
    <t>065-04-2022 Respuesta Requerimiento 20222301777231 copia contrato AERG\065-04-2022 Respuesta Requerimiento 20222301777231 copia contrato AERG.pdf</t>
  </si>
  <si>
    <t>066-04-2022 Respuesta Requerimiento 20222301777241 copia contrato AERG\066-04-2022 Respuesta Requerimiento 20222301777241 copia contrato AERG.pdf</t>
  </si>
  <si>
    <t>Respuesta Radicado No. 20222301777461 – Copia contrato de Auditoría Externa de 
Gestión y Resultados.</t>
  </si>
  <si>
    <t>Se solicita una copia del contrato vigente suscrito con la firma de AEGR nos permitimos informar que este se tiene suscrito con la firma KPMG DVISORY TAX &amp; LEGAL SAS, se adjunta a esta comunicación el contrato No 4600001352 dando cumplimiento a lo establecido en el artículo 51 de la Ley 142 de 1994, modificado por el artículo 6 de la Ley 689 de 2001.</t>
  </si>
  <si>
    <t>067-04-2022 Respuesta Requerimiento 20222301777461 copia contrato AERG\067-04-2022 Respuesta Requerimiento 20222301777461 copia contrato AERG.pdf</t>
  </si>
  <si>
    <t>Periodo de aplicación de la Opción Tarifaria Transitoria – Resolución CREG 184 de 2014.</t>
  </si>
  <si>
    <t>A la fecha de finalización de la opción tarifaria, el saldo acumulado establecido en la resolución CREG 184 de 2014 para los mercados relevantes mencionados es igual a cero (0).</t>
  </si>
  <si>
    <t>060-2022 CREG SSPD GOR Finalización Opción Tarifaria\060-2022 CREG SSPD GOR Finalización Opción Tarifaria.pdf</t>
  </si>
  <si>
    <t>Respuesta Radicado No. 20222311529751 – Requerimiento de información tarifaria 
periodo febrero de 2022</t>
  </si>
  <si>
    <t>Formación adicional que consideramos pertinente para sus actividades de validación de información, de igual manera, en la plantilladonde se reportó la información de suministro y transporte fueron incluidas nuevas columnas con información adicional que sirva de apoyo para su análisis.</t>
  </si>
  <si>
    <t>061 -04-2022 Respuesta SSPD Radicado 20222311529751_Vanti_feb\061 -Respuesta SSPD Radicado 20222311529751_Vanti_feb.pdf</t>
  </si>
  <si>
    <t>Derecho de petición de solicitud de información sobre proyectos de 
exploración de gas natural en el Cesar.</t>
  </si>
  <si>
    <t>Solicito se informe en el departamento del Cesar, en qué poblaciones del Cesar se tienen proyectos de exploración de GN convencionales y no convencionales, proyectados para los próximos diez años.</t>
  </si>
  <si>
    <t>058-04-2022 Derecho de petición de solicitud de información sobre proyectos de exploración de gas natural en el Cesar</t>
  </si>
  <si>
    <t>Respuesta Radicado No. 20222311268321 – Componentes tarifarios periodo 02 de 2022</t>
  </si>
  <si>
    <t>Adjuntamos a esta comunicación, el archivo “Facturas de cobro.zip”, el cual contiene cuatro 
(4) archivos PDF con copia de 2 facturas emitidas en el mes de diciembre de 2021 para 
clientes de estrato 3 de Bucaramanga, y 2 emitidas en el mes de marzo de 2022 para clientes 
de estrato 3 de Bucaramanga.
Finalmente, informamos que por el tamaño de información a reportar (aproximadamente 
100 MB), se ha dispuesto una carpeta compartida en la siguiente dirección:
https://drive.google.com/drive/folders/1634fn9T2tJ_jpRRDsQCdWaRVzr_x0002_t1uw7?usp=sharing</t>
  </si>
  <si>
    <t>059-04-2022 GOR SSPD Verificación Tarifaria</t>
  </si>
  <si>
    <t xml:space="preserve">Aclaraciones Radicado I-2022-005084, Expediente No. 2020-0227, Solicitud Apligas No. 2120. Adición del Período Probatorio decretado dentro de la Actuación Administrativa iniciado con base en solicitud de la empresa GAS NATURAL DEL ORIENTE S.A. E.S.P. para la aprobación de cargos de distribución de gas combustible por redes para el mercado relevante conformado por Yondó en el departamento de Antioquia, Cantagallo y San Pablo en el departamento de Bolívar, Aguachica, Agustín Codazzi, Becerril, Chiriguaná, Curumaní, Gamarra, La Gloria, La Jagua de Ibirico, Pailitas, Pelaya, San Alberto, San Diego, San Martín y Tamalameque en el departamento de Cesar, El Banco en el departamento de Magdalena, La Esperanza en el departamento de Norte de Santander, Barrancabermeja, Bucaramanga, Girón, Lebrija, Piedecuesta, Puerto Wilches y Sabana de Torres en el departamento de Santander.
</t>
  </si>
  <si>
    <t>Las observaciones fueron diligenciadas de acuerdo con cada uno de los ítems mencionados en el archivo “Anexo Gasnacer I-2022-005083”, los cuales aporta para la identificación de los atributos de los activos.</t>
  </si>
  <si>
    <t>056-03-2022 Respuesta Comunicado Auto I-2022-005084 Gasoriente\056-03-2022 Respuesta Comunicado Auto I-2022-005084 Gasoriente.docx</t>
  </si>
  <si>
    <t>Adición del Período Probatorio decretado dentro de la Actuación Administrativa iniciada con base en solicitud de la empresa GAS NATURAL DEL CESAR S.A. E.S.P. para la aprobación de cargos de distribución de gas combustible por redes para el mercado relevante conformado por Yondó en el departamento de Antioquia, Cantagallo y San Pablo en el departamento de Bolívar, Aguachica, Agustín Codazzi, Becerril, Chiriguaná, Curumaní, Gamarra, La Gloria, La Jagua de Ibirico, Pailitas, Pelaya, San Alberto, San Diego, San Martín y Tamalameque en el departamento de Cesar, El Banco en el departamento de Magdalena, La Esperanza en el departamento de Norte de Santander, Barrancabermeja, Bucaramanga, Girón, Lebrija, Piedecuesta, Puerto Wilches y Sabana de Torres en el departamento de Santander.</t>
  </si>
  <si>
    <t>057-03-2022 Respuesta Comunicado Auto I-2022-005083 GNCER\057-03-2022 Respuesta Comunicado Auto I-2022-005083 GNCER.docx</t>
  </si>
  <si>
    <t>Solicitud de reconocimiento como tercero interesado, con el fin de intervenir 
en la actuación administrativa encaminada a la actualización de los cargos, para que 
incluyan a su vez las actualizaciones de inversión, AOM, PNI, IAC y demandas, cuya 
decisión será la actualización de cargos para remuneración de la actividad de 
transporte de gas natural para la Transportadora de Gas Internacional TGI S.A. 
E.S.P., en aplicación de la metodología indicada en la Resolución CREG 175 de 2021
(modificada por la Resolución CREG 102 001 de 2022).</t>
  </si>
  <si>
    <t>Vanti S.A. E.S.P. cuenta con el derecho a ser tenida como tercero interesado dentro de la actuación 
administrativa, así como con el de conocer la información del expediente, analizarla y presentar las 
observaciones que estime pertinentes de cara a la defensa de sus intereses, como como usuario del Sistema 
Nacional de Transporte y remitente del servicio de transporte y en cumplimiento de sus obligaciones como 
comercializador del servicio de gas natural.</t>
  </si>
  <si>
    <t>055-03-2022 Solicitud de tercero interesado- Res 175 de 2021 para TGI_RvMR\055-03-2022 Solicitud de tercero interesado- Res 175 de 2021 para TGI_RvMR.pdf</t>
  </si>
  <si>
    <t>Reporte 6024 Componentes Tarifarios gas combustible periodo 02 de 2022</t>
  </si>
  <si>
    <t xml:space="preserve">Por tal motivo, solicitamos a la SSPD la inclusión de componentes negativos en el validador y este permita el cargue del reporte y no se genere extemporáneo el formato de componentes tarifarios. Adjuntamos a esta comunicación el archivo en formato CSV correspondiente a la información tarifaria del mes de febrero junto con las publicaciones oficiales en diarios.
</t>
  </si>
  <si>
    <t>052-03-2022 Reporte componentes Tarifarios SUI GOR\052-03-2022 Reporte componentes Tarifarios SUI GOR.docx</t>
  </si>
  <si>
    <t>Comentarios Proyecto de resolución - Lineamientos para el cargue de información al SUI 
aplicable a los prestadores del servicio público de gas combustible por redeS</t>
  </si>
  <si>
    <t>Formalmente las empresas del grupo Vanti presentan sus comentarios al proyecto de resolución 
“Por la cual unifican los lineamientos para el cargue de información al Sistema Único de 
Información – SUI aplicable a los prestadores del servicio público de gas combustible por redes”</t>
  </si>
  <si>
    <t>050-03-2022 Comentarios Proyecto de Resolución Lineamientos para el cargue de información al SUI\050-03-2022 Comentarios Proyecto de Resolución Lineamientos para el cargue de información al SUI.pdf</t>
  </si>
  <si>
    <t>Respuesta a radicado SSPD No. 20222310618981 – Requerimiento adicional sobre 
caso Grantierra</t>
  </si>
  <si>
    <t xml:space="preserve">Informamos que Gran Tierra no se ha manifestado en cuanto a dicha oferta de conexión al 
sistema distribución. </t>
  </si>
  <si>
    <t>051-2022 GNCr SSPD Respuesta caso Grantierra\051-2022 GNCr SSPD Respuesta caso Grantierra.pdf</t>
  </si>
  <si>
    <t>Alcance a la respuesta al radicado SSPD No. 20222310618981 – Requerimiento 
adicional sobre caso Grantierra</t>
  </si>
  <si>
    <t>El municipio de San Martín de donde hacen parte tanto los centros poblados en análisis como la industria Gran Tierra, en la actualidad cuenta con un cargo de distribución de 454.36 $/m3 aprobado por la resolución 113 de 2007. Es importante también mencionar que en la actualidad, hay un expediente tarifario que está en estudio por la CREG y que se espera sea aprobada una nueva tarifa durante el presente año. Este expediente tarifario se basa en la resolución CREG 202 del 2013</t>
  </si>
  <si>
    <t>053-03-2022 Verificación tarifaria SSPD_Vanti_ene\053-02-2022 Alcance Respuesta GASNACER al requerimiento 20222310618981 GRANTIERRA en limpio (003).pdf</t>
  </si>
  <si>
    <t>Comentarios al documento CONPES en elaboración – Política Transición Energética</t>
  </si>
  <si>
    <t>Formalmente las empresas del grupo Vanti comparten al DNP sus comentarios respecto al documento del asunto, cuyo objetivo final consistirá en diseñar, articular e implementar estrategias intersectoriales que fomenten la transición energética impulsando un crecimiento sostenible, eficiente, tecnológico, ambiental y social</t>
  </si>
  <si>
    <t>049-2022 Vanti DNP Comentarios CONPES en elaboración - Transición Energética\049-2022 Vanti DNP Comentarios CONPES en elaboración - Transición Energética.pdf</t>
  </si>
  <si>
    <t>Solicitud reunión para presentar análisis Vanti propuesta metodología comercialización</t>
  </si>
  <si>
    <t xml:space="preserve">Respetuosamente las empresas del grupo Vanti solicitan a la Comisión un espacio de hora y media para presentar a los Expertos Comisionados que usted defina los análisis realizados a la propuesta de nueva metodología de comercialización regulada de gas natural, contenida en las resoluciones CREG 220 de 2020 y 147 y 235 de 2021. </t>
  </si>
  <si>
    <t>047-02-2022-Vanti CREG Solicitud de reunión Nueva Metodología de Comercialización\047-02-2022-Vanti CREG Solicitud de reunión Nueva Metodología de Comercialización.docx</t>
  </si>
  <si>
    <t>Plan de Expansión Gasnacer S.A. ESP – años 2022 a 2026</t>
  </si>
  <si>
    <t>Mercado relevante conformado por los municipios de Aguachica, Agustín Codazzi, 
Becerril, La Jagua de Ibirico, La Gloria, Curumaní, Chiriguaná, Pailitas, San Diego, 
Tamalameque, Pelaya y San Alberto en el departamento de Cesar; El Banco en el 
departamento de Magdalena y el corregimiento de La Pedregosa del municipio de La 
Esperanza en el departamento de Norte de Santander.
• Mercado relevante del municipio de San Martín en el departamento del Cesar.</t>
  </si>
  <si>
    <t>042-Plan De Expansión Gasnacer S.A ESP\042-Plan De Expansión Gasnacer S.A ESP.pdf</t>
  </si>
  <si>
    <t xml:space="preserve">Respuesta Radicado SSPD 20222310406261 - Requerimiento por solicitud de información - Evento de suspensión del servicio en el sur de Bolívar del 01 de febrero de 2022
</t>
  </si>
  <si>
    <t>Con respecto al presente requerimiento, una vez evaluado a lo solicitado, no se evidencia la necesidad de documentos y/o información adicional a lo aportado en los numerales anteriores.</t>
  </si>
  <si>
    <t>038-02-2022 Respuesta al Requerimiento 20222300291711 Recuperación de saldos acumulados de la Resolución CREG 048 de 2020. GNCR\120222300291861_00002_GNCR.xlsx</t>
  </si>
  <si>
    <t>039-02-2022 Respuesta al requerimiento 20222310406261 Segundo evento de suspensión del servicio en el sur de Bolívar\039-02-2022 Respuesta al requerimiento 20222310406261 Segundo evento de suspen.docx</t>
  </si>
  <si>
    <t>Respuesta de Vanti al radicado TGI S20220100000952 - Remisión Anexo 10 Resolución CREG 175 de 2021 
– ERPC Reportadas por Distribuidor</t>
  </si>
  <si>
    <t>Gas Natural del Cesar identifica que no corresponde el diligenciamiento de dicho formato por cuanto las ERPC fueron incluidas en su solicitud tarifaria de cargos de 
distribución y, por lo tanto, tal como lo indica la Comisión en el Documento CREG 102 001, no es necesaria la firma del distribuidor.</t>
  </si>
  <si>
    <t>043-02-2022 Respuesta de Vanti al radicado TGI S20220100000952\043-02-2022 Respuesta de Vanti al radicado TGI S20220100000952.pdf</t>
  </si>
  <si>
    <t>respuesta de Gas Natural Cundiboyacense al radicado TGI S20220100000952 - Remisión Anexo 10
Resolución CREG 175 de 2021 – ERPC Reportadas por Distribuidor</t>
  </si>
  <si>
    <t>044-02-2022 Respuesta de Gas Natural Cundiboyacense al radicado TGI S20220100000952\044-02-2022 Respuesta de Gas Natural Cundiboyacense al radicado TGI S20220100000952.pdf</t>
  </si>
  <si>
    <t>Respuesta de Gas Natural del Oriente al radicado TGI S20220100000952 - Remisión Anexo 10 
Resolución CREG 175 de 2021 – ERPC Reportadas por Distribuidor</t>
  </si>
  <si>
    <t>045-02-2022 Respuesta de Gas Natural del Oriente al radicado TGI S20220100000952\045-02-2022 Respuesta de Gas Natural del Oriente al radicado TGI S20220100000952.pdf</t>
  </si>
  <si>
    <t>Respuesta de Gas Natural del Cesar al radicado TGI S20220100000952 - Remisión Anexo 10 Resolución CREG 175 de 2021 – ERPC Reportadas por Distribuido</t>
  </si>
  <si>
    <t>046-02-2022 Respuesta de Gas Natural del Cesar al radicado TGI S20220100000952\046-02-2022 Respuesta de Gas Natural del Cesar al radicado TGI S20220100000952.pdf</t>
  </si>
  <si>
    <t>Presentación de comentarios AIN en grandes industrias - análisis de impacto normativo.</t>
  </si>
  <si>
    <t>consideramos que también debe incluirse en el marco de las auditorías una etapa 
de pilotos para que, con base en los resultados obtenidos, se identifiquen y establezcan 
incentivos para la implementación de estas medidas por parte de las grandes industrias.</t>
  </si>
  <si>
    <t>041-22-Vanti MME comentarios Auditorias energéticas\041-22-Vanti MME comentarios Auditorias energéticas.pdf</t>
  </si>
  <si>
    <t>Comentarios proyecto resolución – Adopción PAI 2022-2030 para desarrollo del PROURE.</t>
  </si>
  <si>
    <t>Teniendo en cuenta que con los resultados del PAI-PROURE del año 2022-2030 la UPME 
identifica las medidas que requieren incentivos tributarios para poder ser desarrolladas, y con 
ello alcanzar las metas de eficiencia energética potenciales, las empresas del Grupo Vanti 
formalmente presentan sus observaciones a los documentos publicados y realizan dos 
propuestas constructivas de medidas que aportarían a lograr dichas metas</t>
  </si>
  <si>
    <t>D-702 008-2022 Formato comentarios Anexo_Vanti.xlsm</t>
  </si>
  <si>
    <t>Petición respetuosa para el acceso al expediente virtual de la solicitud del cargo de 
distribución por uso del sistema de distribución, para el mercado relevante conformado por
municipios pertenecientes a los departamentos de Cundinamarca, Boyacá y Santander1
, según 
solicitud tarifaria presentada por la empresa GAS NATURAL CUNDIBOYACENSE S.A. E.S.P. (Expediente 
Apligas No. 2119 2020-08-10)</t>
  </si>
  <si>
    <t xml:space="preserve">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t>
  </si>
  <si>
    <t>030-02-2022 Vanti CREG solicitud acceso expediente\030-02-2022 Vanti CREG solicitud acceso expediente.pdf</t>
  </si>
  <si>
    <t>031-02-2022 GNCB CREG Solicitud Acceso expediente\031-02-2022 GNCB CREG Solicitud Acceso expediente.pdf</t>
  </si>
  <si>
    <t>Petición respetuosa para el acceso al expediente virtual de la solicitud del cargo de distribución 
por uso del sistema de distribución, para el mercado relevante conformado por municipios 
pertenecientes a los departamentos de Santander, Magdalena, Antioquia, Norte de Santander, Cesar 
y Bolívar1
, según solicitud tarifaria presentada por la empresa GAS NATURAL DEL CESAR S.A. E.S.P. 
(Expediente Apligas No. 2121 2020-08-10)</t>
  </si>
  <si>
    <t>032-02-2022 GOR CREG Solicitud Acceso expediente\032-02-2022 GOR CREG Solicitud Acceso expediente.pdf</t>
  </si>
  <si>
    <t>033-02-2022 GNCR CREG Solicitud Acceso expediente\033-02-2022 GNCR CREG Solicitud Acceso expediente.pdf</t>
  </si>
  <si>
    <t>Petición respetuosa para el acceso al expediente virtual del Recurso de Reposición en contra de la Resolución CREG 099 de 2021 “Por la cual se resuelven las solicitudes hechas por la Transportadora de Gas Internacional TGI S.A. E.S.P. para la aplicación del artículo 14 de la Resolución CREG 126 de 2010 en los gasoductos y estaciones de compresión que cumplieron su vida útil normativa”, resuelto mediante la Resolución CREG 231 de 2021 publicada la web de la CREG en enero 24 de 2022.</t>
  </si>
  <si>
    <t>034-2022- Vanti GNCB Solicitud acceso expediente virtual 099\034-2022- Vanti GNCB Solicitud acceso expediente virtual 099.pdf</t>
  </si>
  <si>
    <t>Solicitud reconocimiento como tercero interesado para intervenir en actuación administrativa
Recurso interpuesto contra la Resolución CREG 099 de 2021 “Por la cual se resuelven las solicitudes hechas 
por la Transportadora de Gas Internacional TGI S.A. E.S.P. para la aplicación del artículo 14 de la Resolución 
CREG 126 de 2010 en los gasoductos y estaciones de compresión que cumplieron su vida útil normativa”.</t>
  </si>
  <si>
    <t>Giovanni Fernando Suárez Garzón, identificado con cédula de ciudadanía No. 79.471.269 actuando en 
nombre y representación de Vanti S.A. ESP, identificada con NIT No. 800.007.813-5 (en adelante “Vanti”), por 
medio de la presente me permito solicitar el reconocimiento de la sociedad que represento como tercero 
interesado para intervenir en la actuación administrativa mencionada en el asunto, en razón a que la decisión 
que adopte la CREG en esta actuación, impactará de manera directa a Vanti en su condición de remitente de 
TGI y comercializadora de gas natural, lo que se demuestra con los contratos que la compañía tienen suscritos 
con el transportador.</t>
  </si>
  <si>
    <t>029-22-Vanti MME Comentarios PAI-PROURE</t>
  </si>
  <si>
    <t>Respuesta Radicado No. 20222310306421 – Requerimiento de información tarifaria 
periodo diciembre de 2021</t>
  </si>
  <si>
    <t>Finalmente se adicionó la hoja “Notas Empresa” con información adicional que consideramos 
pertinente para sus actividades de validación de información, de igual manera, en la plantilla
donde se reportó la información de suministro y transporte fueron incluidas nuevas columnas 
con información adicional que sirva de apoyo para su análisis</t>
  </si>
  <si>
    <t>040-02-2022-Vanti SSPD verificación tarifaria Dic21\040 Requerimiento verificación tarifaria 20222310306421 _Vanti.pdf</t>
  </si>
  <si>
    <t>Alcance a la respuesta del Radicado No. 20222310306421 – Requerimiento de 
información tarifaria periodo diciembre de 2021</t>
  </si>
  <si>
    <t>De acuerdo con lo anterior, en los mercados relevantes de El Rosal, La Calera y La Mesa, para el mes de agosto, septiembre y octubre de 2021, no se acumuló una variaciónmayor al 3% en los índices 
de precios de la fórmula tarifaria, por lo tanto, en estos mercados no se actualizó la tarifa</t>
  </si>
  <si>
    <t>048 Alcance a la respuesta del radicado SSPD 20222310306421 _Vanti\048 Alcance a la respuesta del radicado SSPD 20222310306421 _Vanti.pdf</t>
  </si>
  <si>
    <t>Fondo de Solidaridad y Redistribución de Ingresos – Conciliación IV trimestre 
de 2021.</t>
  </si>
  <si>
    <t>Dando cumplimiento al artículo 2° del Decreto 201 del 27 de enero de 2004 y a la 
circular 045 del 9 de julio de 2004, anexo estamos remitiendo la información 
correspondiente a la conciliación de subsidios y contribuciones facturadas del período 
octubre a diciembre de 2021.</t>
  </si>
  <si>
    <t>016-01-2022 MME Conciliacion Subsidios y Contribuciones IV TRIM\016-01-2022 REPORTE FONDO DE SOLIDARIDAD GNCR SA ESP.pdf</t>
  </si>
  <si>
    <t>017-01-2022 MME Conciliacion Subsidios y Contribiciones IV TRIM\017-01-21-REPORTE FONDO DE SOLIDARIDAD VANTI SA ESP.pdf</t>
  </si>
  <si>
    <t>018-01-2022 MME Conciliacion Subsidios y Contribuciones IV Trim\018-01-2022-REPORTE FONDO DE SOLIDARIDAD GNCB SA ESP.pdf</t>
  </si>
  <si>
    <t>019-01-2022 MME Conciliacion Subsidios y Contribucion IV Trim\019-01-2022 REPORTE FONDO DE SOLIDARIDAD GOR SA ESP.pdf</t>
  </si>
  <si>
    <t>Reporte de información de activos - Anexo 18 de la Resolución 
CREG 202 de 2013</t>
  </si>
  <si>
    <t>En cumplimiento de lo establecido en el numeral 13.3 de la Resolución CREG 
202 de 2013, nos permitimos remitir la información de los activos puestos en 
operación en el sistema de distribución durante el año 2021 para la empresa 
Gas Natural del Cesar S.A. ES</t>
  </si>
  <si>
    <t>021-01-2022 CREG Reporte Activos 2021_Vanti\021-01-2022 CREG Reporte Activos 2021_Vanti.pdf</t>
  </si>
  <si>
    <t>022-01-2022 CREG Reporte Activos 2021_Gasoriente\022-01-2022 CREG Reporte Activos 2021_Gasoriente.pdf</t>
  </si>
  <si>
    <t>023-01-2022 CREG Reporte Activos 2021_GNCB\023-01-2022 CREG Reporte Activos 2021_GNCB.pdf</t>
  </si>
  <si>
    <t>024-01-2022 CREG Reporte Activos 2021_Gasnacer\024-01-2022 CREG Reporte Activos 2021_Gasnacer.pdf</t>
  </si>
  <si>
    <t>Alcance Respuesta Radicado No. 20222310155391 – Solicitud de 
información de accidentes en instalaciones internas</t>
  </si>
  <si>
    <t>Dando alcance a la comunicación enviada a la SSPD el 28 de enero de 2022 por 
parte de VANTI SA ESP en relación con accidentes en instalaciones internas, a 
continuación, nos permitimos remitir detalle de los eventos por intoxicación</t>
  </si>
  <si>
    <t>026-02-2022 Respuesta Rad 20222310155391 Solicitud de información de accidentes en instalaciones internas</t>
  </si>
  <si>
    <t>Respuesta Radicado No. 20222310155391 – Solicitud de información de accidentes 
en instalaciones internas</t>
  </si>
  <si>
    <t xml:space="preserve">Para el detalle de los eventos por intoxicación, solicitamos un plazo adicional de cinco (5) 
días hábiles, con el fin de asegurar la calidad de la información suministrada. Informamos que, de los eventos relacionados en el ítem anterior, ninguno desencadenó en 
muerte. </t>
  </si>
  <si>
    <t>020-01-2022 Respuesta Rad 20222310155391 Solicitud de información de accidentes en instalaciones internas</t>
  </si>
  <si>
    <t>Respuesta Radicado No. 20222310155391 – Solicitud de información de accidentes en instalaciones internas</t>
  </si>
  <si>
    <t>Solicitud de reunión coordinación Gas Natural del Cesar – TGI (ERPC que cumplen su 
VUN)</t>
  </si>
  <si>
    <t>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t>
  </si>
  <si>
    <t>008-01-2022-Vanti TGI ERPC Res 202-13 y 175-21</t>
  </si>
  <si>
    <t>009-01-2022-Gasoriente TGI ERPC Res 202-13 y 175-21 (002)</t>
  </si>
  <si>
    <t>010-01-2022-Cundi TGI ERPC Res 202-13 y 175-21 (002)\010-2022-Cundi TGI ERPC Res 202-13 y 175-21 (002).pdf</t>
  </si>
  <si>
    <t>011-11-2022-Gasnacer TGI ERPC Res 202-13 y 175-21</t>
  </si>
  <si>
    <t xml:space="preserve"> Comentarios Plan de Acción 2022 Grupo Vanti </t>
  </si>
  <si>
    <t xml:space="preserve">Comentarios al Plan de Acción de 2022, presentados para consulta de la ciudadanía al Ministerio de Minas y Energía, en particular sobre
aquellos indicadores que responsabilidad de la Dirección de Hidrocarburos. </t>
  </si>
  <si>
    <t>013-2022-Vanti MME Comentarios PAA 2022\013-2022-Vanti MME Comentarios PAA 2022 .pdf</t>
  </si>
  <si>
    <t>Comentarios a la Resolución CREG 223 de 2020</t>
  </si>
  <si>
    <t>Dado que el periodo para la asignación de las OEF inicia el 1 de diciembre de 2023, es decir en 
23 meses, formalmente solicitamos a la Comisión una mayor flexibilidad para la presentación de 
contratos de combustible o garantías al ASIC, y que el plazo de la actividad 7 del cronograma 
tenga vencimiento al menos el 30 de octubre del 2022 para el periodo 2023-2024, y del 30 de 
octubre de 2023 para el periodo 2024-2025, esto es, 13 meses antes de que inicie la obligación.</t>
  </si>
  <si>
    <t>002-01-2022-Vanti-CREG-Comentarios Resolución CREG 223 de 2021\002-01-2022-Vanti-CREG-Comentarios Resolución CREG 223 de 2021.pdf</t>
  </si>
  <si>
    <t>Alcance a la respuesta del comunicado No. 20212035332831 del 12 de noviembre de 2021</t>
  </si>
  <si>
    <t>Vanti S.A. ESP se permite dar alcance a la respuesta del comunicado del asunto enviado el 17 de diciembre de 
2021 con número radicado 20215294024772, en el cual se solicita la reversión voluntaria del reporte de los 
Estados financieros para la vigencia 2020.
Lo anterior, en virtud que se realizó un ajuste en el formato [900019] FC02 - Complementario ingresos, en el que 
se excluyó los ingresos reportados como Otros en la actividad de transporte y se asociaron al concepto Otros de 
la actividad de comercialización de gas combustible por redes</t>
  </si>
  <si>
    <t>004 -01-2022 Alcance_Solicitud modificación de información SUI - Estados Financieros 2020_Vanti\004-01-2022  Alcance_Solicitud modificación de información SUI - Estados Financieros 2020_Vanti.pdf</t>
  </si>
  <si>
    <t>Gas Natural del oriente S.A. ESP se permite dar alcance a la respuesta del comunicado del asunto enviado el 
17 de diciembre de 2021 con número radicado 20215294023362, en el cual se solicita la reversión voluntaria 
del reporte de los Estados financieros para la vigencia 2020.
Lo anterior, en virtud que se realizó un ajuste en el formato [900019] FC02 - Complementario ingresos, en el 
que se excluyó los ingresos reportados como Otros en la actividad de transporte y se asociaron al concepto 
Otros de la actividad de comercialización de gas combustible por redes.</t>
  </si>
  <si>
    <t>005-01-2022 Alcance_Solicitud modificación de información SUI - Estados Financieros 2020_Gasoriente</t>
  </si>
  <si>
    <t>Alcance a la respuesta del comunicado No. 20212035327651 del 12 de noviembre de 2021</t>
  </si>
  <si>
    <t>Gas Natural Cundiboyacense S.A. ESP se permite dar alcance a la respuesta del comunicado del asunto enviado 
el 17 de diciembre de 2021 con número radicado 20215294024382, en el cual se solicita la reversión voluntaria 
del reporte de los Estados financieros para la vigencia 2020.
Lo anterior, en virtud que se realizó un ajuste en el formato [900019] FC02 - Complementario ingresos, en el 
que se excluyó los ingresos reportados como Otros en la actividad de transporte y se asociaron al concepto 
Otros de la actividad de comercialización de gas combustible por redes.</t>
  </si>
  <si>
    <t>006-01-2022 Alcance_Solicitud modificación de información SUI - Estados Financieros 2020_Cundi\006-01-2022 Alcance_Solicitud modificación de información SUI - Estados Financieros 2020_Cundi.pdf</t>
  </si>
  <si>
    <t>Alcance a la respuesta del comunicado No. 20212035332811 del 12 de noviembre de 2021</t>
  </si>
  <si>
    <t>Gas Natural del Cesar S.A. ESP se permite dar alcance a la respuesta del comunicado del asunto enviado el 17 
de diciembre de 2021 con número radicado 20215294024382, en el cual se solicita la reversión voluntaria del 
reporte de los Estados financieros para la vigencia 2020.
Lo anterior, para informar que la totalidad de los ingresos asociados a la actividad de distribución y 
comercialización reportados en el formato [900019] FC02 - Complementario ingresos se han reportado en el 
concepto Otros en la actividad de Comercialización.</t>
  </si>
  <si>
    <t>007-01-2022 Alcance_Solicitud modificación de información SUI - Estados Financieros 2020_Gasnacer</t>
  </si>
  <si>
    <t>Solicitud respuesta a comunicación Radicado CREG E-2021-00480</t>
  </si>
  <si>
    <t>El día 28 de abril de 2021 enviamos la comunicación del asunto, mediante la cual consultamos sobre la inclusión de recursos públicos provenientes del Fondo Especial Cuota de Fomento, o de otras fuentes de recursos públicos y la aplicación del cargo de distribución para las veredas mencionadas en la comunicación del Municipio al que pertenecen y la integración en el próximo período tarifario al mercado existente.</t>
  </si>
  <si>
    <t>012-01-22-GNC CREG Solicitud respuesta concepto recursos públicos Gas Nacer\012-01-22-GNC CREG Solicitud respuesta concepto recursos públicos Gas Nacer.pdf</t>
  </si>
  <si>
    <t>Comentarios a la Resolución CREG 235 de 2020</t>
  </si>
  <si>
    <t xml:space="preserve">La productividad ha representado a la fecha una reducción en el cargo a trasladar a precios constantes del 23% respecto a los cargos aprobados, se solicita a la Comisión que en la metodología definitiva, próxima a expedirse, se incluya un artículo en el que se especifique que desde la fecha de entrada en vigencia de la resolución no se siga acumulando la aplicación del factor de productividad de la Resolución CREG 011 de 2003.
 </t>
  </si>
  <si>
    <t>001-2022-Vanti-CREG-Comentarios Resolución CREG 235 de 2021\001-2022-Vanti-CREG-Comentarios Resolución CREG 235 de 2021.pdf</t>
  </si>
  <si>
    <t>Respuesta Radicado No. 20212316391501 – Requerimiento de información tarifaria 
periodo noviembre de 2021</t>
  </si>
  <si>
    <t xml:space="preserve"> se solicita información en relación 
con las facturas de suministro y transporte e información tarifaria para el periodo de noviembre
de 2021</t>
  </si>
  <si>
    <t>014-2022-Vanti SSPD Verificación Tarifaria Nov\014-01-2021Respuesta SSPD Radicado 20212316391501_Vanti.pdf</t>
  </si>
  <si>
    <t>Respuesta al radicado No. 20212316317961, recibido el 29 de diciembre de 2021. Declaración de 
fuerza mayor en Puerto Wilches el 30 de noviembre de 2021.</t>
  </si>
  <si>
    <t>En atención al evento de suspensión del servicio de gas natural domiciliario en el municipio de Puerto Wilches, 
comunicado por parte de Gasoriente S.A. ESP a la SSPD el día 1 de diciembre de 2021</t>
  </si>
  <si>
    <t>003-01-2022 Respuesta al radicado No. 20212316317961  Puerto Wilches\003-01-2022 Respuesta al radicado No. 20212316317961  Puerto Wilches.pdf</t>
  </si>
  <si>
    <t>(Varios elementos)</t>
  </si>
  <si>
    <t>Etiquetas de fila</t>
  </si>
  <si>
    <t>Cuenta de Asunto</t>
  </si>
  <si>
    <t>Derecho de Peticion Usuario</t>
  </si>
  <si>
    <t>REQUERIMIENTO</t>
  </si>
  <si>
    <t>SOLICITUD</t>
  </si>
  <si>
    <t>Total general</t>
  </si>
  <si>
    <t>(Todas)</t>
  </si>
  <si>
    <t>ENTIDADES</t>
  </si>
  <si>
    <t>Etiquetas de columna</t>
  </si>
  <si>
    <t>A Tiempo</t>
  </si>
  <si>
    <t>pendiente</t>
  </si>
  <si>
    <t>Retrasado</t>
  </si>
  <si>
    <t>#¡REF!</t>
  </si>
  <si>
    <t>COMENTARIOS A RES</t>
  </si>
  <si>
    <t>REPORTE</t>
  </si>
  <si>
    <t>(en blanco)</t>
  </si>
  <si>
    <t>Alcaldia Municipal de Chiquinquirá</t>
  </si>
  <si>
    <t>SIP Municipio de Sutatausa</t>
  </si>
  <si>
    <t>SDP</t>
  </si>
  <si>
    <t>VARIOS</t>
  </si>
  <si>
    <t>Alcaldia de Soacha</t>
  </si>
  <si>
    <t>Alcaldia de Bucaramanga</t>
  </si>
  <si>
    <t>KPMG</t>
  </si>
  <si>
    <t>Municipio de Duitama</t>
  </si>
  <si>
    <t>Bancolombia S.A. - Gerencia Servicios Inversiones y Tesoreria</t>
  </si>
  <si>
    <t>Personeria Municipal de CHIA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</si>
</sst>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yy"/>
    <numFmt numFmtId="165" formatCode="dd/mm/yyyy;@"/>
  </numFmts>
  <fonts count="14">
    <font>
      <sz val="11"/>
      <color theme="1"/>
      <name val="Calibri"/>
      <family val="2"/>
      <scheme val="minor"/>
    </font>
    <font>
      <u/>
      <sz val="11"/>
      <color theme="10"/>
      <name val="Calibri"/>
      <family val="2"/>
      <scheme val="minor"/>
    </font>
    <font>
      <sz val="8"/>
      <name val="Calibri"/>
      <family val="2"/>
      <scheme val="minor"/>
    </font>
    <font>
      <sz val="9"/>
      <color indexed="81"/>
      <name val="Tahoma"/>
      <family val="2"/>
    </font>
    <font>
      <b/>
      <sz val="9"/>
      <color indexed="81"/>
      <name val="Tahoma"/>
      <family val="2"/>
    </font>
    <font>
      <sz val="12"/>
      <name val="Agency FB"/>
      <family val="2"/>
    </font>
    <font>
      <b/>
      <sz val="12"/>
      <name val="Agency FB"/>
      <family val="2"/>
    </font>
    <font>
      <u/>
      <sz val="12"/>
      <name val="Agency FB"/>
      <family val="2"/>
    </font>
    <font>
      <b/>
      <sz val="12"/>
      <color theme="0"/>
      <name val="Agency FB"/>
      <family val="2"/>
    </font>
    <font>
      <b/>
      <sz val="45"/>
      <color theme="0"/>
      <name val="Agency FB"/>
      <family val="2"/>
    </font>
    <font>
      <sz val="11"/>
      <color theme="4" tint="-0.249977111117893"/>
      <name val="Agency FB"/>
      <family val="2"/>
    </font>
    <font>
      <u/>
      <sz val="11"/>
      <color theme="4" tint="-0.249977111117893"/>
      <name val="Agency FB"/>
      <family val="2"/>
    </font>
    <font>
      <b/>
      <sz val="11"/>
      <color theme="4" tint="-0.249977111117893"/>
      <name val="Agency FB"/>
      <family val="2"/>
    </font>
    <font>
      <sz val="11"/>
      <color rgb="FFFF0000"/>
      <name val="Agency FB"/>
      <family val="2"/>
    </font>
  </fonts>
  <fills count="7">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theme="2" tint="-9.9978637043366805E-2"/>
      </left>
      <right style="hair">
        <color theme="2" tint="-9.9978637043366805E-2"/>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top style="medium">
        <color theme="2" tint="-9.9978637043366805E-2"/>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right style="medium">
        <color theme="2" tint="-9.9978637043366805E-2"/>
      </right>
      <top/>
      <bottom style="medium">
        <color theme="2" tint="-9.9978637043366805E-2"/>
      </bottom>
      <diagonal/>
    </border>
    <border>
      <left style="medium">
        <color theme="2" tint="-9.9978637043366805E-2"/>
      </left>
      <right/>
      <top/>
      <bottom/>
      <diagonal/>
    </border>
    <border>
      <left/>
      <right style="medium">
        <color theme="2" tint="-9.9978637043366805E-2"/>
      </right>
      <top/>
      <bottom/>
      <diagonal/>
    </border>
    <border>
      <left style="medium">
        <color theme="2" tint="-9.9978637043366805E-2"/>
      </left>
      <right style="medium">
        <color theme="2" tint="-9.9978637043366805E-2"/>
      </right>
      <top style="medium">
        <color theme="2" tint="-9.9978637043366805E-2"/>
      </top>
      <bottom/>
      <diagonal/>
    </border>
    <border>
      <left style="medium">
        <color theme="2" tint="-9.9978637043366805E-2"/>
      </left>
      <right style="medium">
        <color theme="2" tint="-9.9978637043366805E-2"/>
      </right>
      <top/>
      <bottom style="medium">
        <color theme="2" tint="-9.9978637043366805E-2"/>
      </bottom>
      <diagonal/>
    </border>
    <border>
      <left style="hair">
        <color theme="2" tint="-9.9978637043366805E-2"/>
      </left>
      <right/>
      <top style="medium">
        <color theme="2" tint="-9.9978637043366805E-2"/>
      </top>
      <bottom style="medium">
        <color theme="2" tint="-9.9978637043366805E-2"/>
      </bottom>
      <diagonal/>
    </border>
  </borders>
  <cellStyleXfs count="2">
    <xf numFmtId="0" fontId="0" fillId="0" borderId="0"/>
    <xf numFmtId="0" fontId="1" fillId="0" borderId="0" applyNumberFormat="0" applyFill="0" applyBorder="0" applyAlignment="0" applyProtection="0"/>
  </cellStyleXfs>
  <cellXfs count="99">
    <xf numFmtId="0" fontId="0" fillId="0" borderId="0" xfId="0"/>
    <xf numFmtId="0" fontId="0" fillId="0" borderId="1" xfId="0" applyBorder="1" applyAlignment="1">
      <alignment horizontal="center" vertical="center" wrapText="1"/>
    </xf>
    <xf numFmtId="0" fontId="0" fillId="0" borderId="0" xfId="0" applyAlignment="1">
      <alignment horizontal="left" vertical="center" wrapText="1"/>
    </xf>
    <xf numFmtId="0" fontId="0" fillId="0" borderId="0" xfId="0" applyAlignment="1">
      <alignment horizontal="left"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left" wrapText="1"/>
    </xf>
    <xf numFmtId="0" fontId="5" fillId="3" borderId="0" xfId="0" applyFont="1" applyFill="1" applyAlignment="1">
      <alignment horizontal="center" vertical="center"/>
    </xf>
    <xf numFmtId="0" fontId="5" fillId="3" borderId="0" xfId="0" applyFont="1" applyFill="1" applyAlignment="1">
      <alignment horizont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5" fillId="3" borderId="0" xfId="0" applyFont="1" applyFill="1" applyAlignment="1">
      <alignment horizontal="left"/>
    </xf>
    <xf numFmtId="0" fontId="6" fillId="3" borderId="0" xfId="0" applyFont="1" applyFill="1" applyAlignment="1">
      <alignment horizontal="left"/>
    </xf>
    <xf numFmtId="14" fontId="5" fillId="4" borderId="0" xfId="0" applyNumberFormat="1" applyFont="1" applyFill="1" applyAlignment="1">
      <alignment horizontal="center" vertical="center"/>
    </xf>
    <xf numFmtId="14" fontId="5" fillId="4" borderId="3" xfId="0" applyNumberFormat="1" applyFont="1" applyFill="1" applyBorder="1" applyAlignment="1">
      <alignment horizontal="center" vertical="center"/>
    </xf>
    <xf numFmtId="0" fontId="8" fillId="5" borderId="2" xfId="0" applyFont="1" applyFill="1" applyBorder="1" applyAlignment="1">
      <alignment horizontal="center" vertical="center" wrapText="1"/>
    </xf>
    <xf numFmtId="0" fontId="5" fillId="6" borderId="0" xfId="0" applyFont="1" applyFill="1" applyAlignment="1">
      <alignment horizontal="center" vertical="center"/>
    </xf>
    <xf numFmtId="0" fontId="5" fillId="6" borderId="0" xfId="0" applyFont="1" applyFill="1" applyAlignment="1">
      <alignment horizontal="center"/>
    </xf>
    <xf numFmtId="14" fontId="5" fillId="6" borderId="0" xfId="0" applyNumberFormat="1" applyFont="1" applyFill="1" applyAlignment="1">
      <alignment horizontal="center" vertical="center"/>
    </xf>
    <xf numFmtId="0" fontId="6" fillId="6" borderId="0" xfId="0" applyFont="1" applyFill="1" applyAlignment="1">
      <alignment horizontal="left" vertical="center" wrapText="1"/>
    </xf>
    <xf numFmtId="14" fontId="5" fillId="6" borderId="0" xfId="0" applyNumberFormat="1" applyFont="1" applyFill="1" applyAlignment="1">
      <alignment horizontal="center" vertical="center" wrapText="1"/>
    </xf>
    <xf numFmtId="0" fontId="5" fillId="6" borderId="0" xfId="0" applyFont="1" applyFill="1" applyAlignment="1">
      <alignment horizontal="center" vertical="center" wrapText="1"/>
    </xf>
    <xf numFmtId="0" fontId="6" fillId="6" borderId="0" xfId="0" applyFont="1" applyFill="1" applyAlignment="1">
      <alignment horizontal="left" wrapText="1"/>
    </xf>
    <xf numFmtId="0" fontId="5" fillId="6" borderId="0" xfId="0" applyFont="1" applyFill="1" applyAlignment="1">
      <alignment horizontal="center" vertical="top" wrapText="1"/>
    </xf>
    <xf numFmtId="0" fontId="5" fillId="6" borderId="0" xfId="0" applyFont="1" applyFill="1" applyAlignment="1">
      <alignment horizontal="center" wrapText="1"/>
    </xf>
    <xf numFmtId="0" fontId="5" fillId="6" borderId="0" xfId="0" applyFont="1" applyFill="1" applyAlignment="1">
      <alignment horizontal="left" vertical="center" wrapText="1"/>
    </xf>
    <xf numFmtId="0" fontId="5" fillId="6" borderId="11" xfId="0" applyFont="1" applyFill="1" applyBorder="1" applyAlignment="1">
      <alignment horizontal="center" vertical="center"/>
    </xf>
    <xf numFmtId="0" fontId="0" fillId="6" borderId="0" xfId="0" applyFill="1"/>
    <xf numFmtId="0" fontId="5" fillId="6" borderId="12" xfId="0" applyFont="1" applyFill="1" applyBorder="1" applyAlignment="1">
      <alignment horizontal="center" vertical="center"/>
    </xf>
    <xf numFmtId="0" fontId="5" fillId="6" borderId="11" xfId="0" applyFont="1" applyFill="1" applyBorder="1" applyAlignment="1">
      <alignment horizontal="center"/>
    </xf>
    <xf numFmtId="0" fontId="5" fillId="6" borderId="12" xfId="0" applyFont="1" applyFill="1" applyBorder="1" applyAlignment="1">
      <alignment horizontal="center"/>
    </xf>
    <xf numFmtId="0" fontId="5" fillId="6" borderId="8" xfId="0" applyFont="1" applyFill="1" applyBorder="1" applyAlignment="1">
      <alignment horizontal="center"/>
    </xf>
    <xf numFmtId="0" fontId="5" fillId="6" borderId="9" xfId="0" applyFont="1" applyFill="1" applyBorder="1" applyAlignment="1">
      <alignment horizontal="left" wrapText="1"/>
    </xf>
    <xf numFmtId="0" fontId="5" fillId="6" borderId="9" xfId="0" applyFont="1" applyFill="1" applyBorder="1" applyAlignment="1">
      <alignment horizontal="center" vertical="center"/>
    </xf>
    <xf numFmtId="0" fontId="5" fillId="6" borderId="9" xfId="0" applyFont="1" applyFill="1" applyBorder="1" applyAlignment="1">
      <alignment horizontal="center"/>
    </xf>
    <xf numFmtId="0" fontId="5" fillId="6" borderId="10" xfId="0" applyFont="1" applyFill="1" applyBorder="1" applyAlignment="1">
      <alignment horizontal="center"/>
    </xf>
    <xf numFmtId="14" fontId="10" fillId="0" borderId="0" xfId="0" applyNumberFormat="1" applyFont="1" applyAlignment="1">
      <alignment horizontal="center" vertical="center" wrapText="1"/>
    </xf>
    <xf numFmtId="0" fontId="10" fillId="0" borderId="0" xfId="0" applyFont="1" applyAlignment="1">
      <alignment horizontal="center" vertical="center" wrapText="1"/>
    </xf>
    <xf numFmtId="0" fontId="11" fillId="0" borderId="0" xfId="1" applyFont="1" applyAlignment="1">
      <alignment horizontal="center" vertical="center" wrapText="1"/>
    </xf>
    <xf numFmtId="0" fontId="11" fillId="0" borderId="0" xfId="1" applyNumberFormat="1" applyFont="1" applyAlignment="1">
      <alignment horizontal="center" vertical="center" wrapText="1"/>
    </xf>
    <xf numFmtId="14" fontId="11" fillId="0" borderId="0" xfId="1" applyNumberFormat="1" applyFont="1" applyAlignment="1">
      <alignment horizontal="center" vertical="center" wrapText="1"/>
    </xf>
    <xf numFmtId="0" fontId="10" fillId="0" borderId="0" xfId="0" applyFont="1"/>
    <xf numFmtId="0" fontId="10"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11" fillId="0" borderId="0" xfId="1" applyFont="1" applyFill="1" applyAlignment="1">
      <alignment horizontal="center" vertical="center" wrapText="1"/>
    </xf>
    <xf numFmtId="14" fontId="11" fillId="0" borderId="0" xfId="1" applyNumberFormat="1" applyFont="1" applyFill="1" applyAlignment="1">
      <alignment horizontal="center" vertical="center" wrapText="1"/>
    </xf>
    <xf numFmtId="0" fontId="11" fillId="0" borderId="0" xfId="1" applyNumberFormat="1" applyFont="1" applyFill="1" applyAlignment="1">
      <alignment horizontal="center" vertical="center" wrapText="1"/>
    </xf>
    <xf numFmtId="0" fontId="10" fillId="2" borderId="0" xfId="0" applyFont="1" applyFill="1" applyAlignment="1">
      <alignment horizontal="center" vertical="center" wrapText="1"/>
    </xf>
    <xf numFmtId="14" fontId="10" fillId="0" borderId="0" xfId="0" applyNumberFormat="1" applyFont="1" applyAlignment="1">
      <alignment horizontal="center" vertical="center"/>
    </xf>
    <xf numFmtId="0" fontId="11" fillId="0" borderId="0" xfId="1" applyFont="1" applyAlignment="1">
      <alignment horizontal="center" vertical="center"/>
    </xf>
    <xf numFmtId="0" fontId="11" fillId="0" borderId="0" xfId="0" applyFont="1" applyAlignment="1">
      <alignment horizontal="center" vertical="center"/>
    </xf>
    <xf numFmtId="14" fontId="11" fillId="0" borderId="0" xfId="0" applyNumberFormat="1" applyFont="1" applyAlignment="1">
      <alignment horizontal="center" vertical="center" wrapText="1"/>
    </xf>
    <xf numFmtId="14" fontId="13" fillId="0" borderId="0" xfId="0" applyNumberFormat="1" applyFont="1" applyAlignment="1">
      <alignment horizontal="center" vertical="center" wrapText="1"/>
    </xf>
    <xf numFmtId="0" fontId="1" fillId="0" borderId="0" xfId="1" applyAlignment="1">
      <alignment horizontal="center" vertical="center" wrapText="1"/>
    </xf>
    <xf numFmtId="164" fontId="10" fillId="0" borderId="0" xfId="0" applyNumberFormat="1" applyFont="1" applyAlignment="1">
      <alignment horizontal="center" vertical="center" wrapText="1"/>
    </xf>
    <xf numFmtId="0" fontId="1" fillId="0" borderId="0" xfId="1"/>
    <xf numFmtId="165" fontId="10" fillId="0" borderId="0" xfId="0" applyNumberFormat="1" applyFont="1" applyAlignment="1">
      <alignment horizontal="center" vertical="center"/>
    </xf>
    <xf numFmtId="165" fontId="10" fillId="0" borderId="0" xfId="0" applyNumberFormat="1" applyFont="1" applyAlignment="1">
      <alignment horizontal="center" vertical="center" wrapText="1"/>
    </xf>
    <xf numFmtId="0" fontId="9" fillId="5" borderId="5"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0" xfId="0" applyFont="1" applyFill="1" applyAlignment="1">
      <alignment horizontal="center" vertical="center" wrapText="1"/>
    </xf>
    <xf numFmtId="0" fontId="9" fillId="5" borderId="8" xfId="0" applyFont="1" applyFill="1" applyBorder="1" applyAlignment="1">
      <alignment horizontal="center" vertical="center" wrapText="1"/>
    </xf>
    <xf numFmtId="0" fontId="9" fillId="5" borderId="9" xfId="0" applyFont="1" applyFill="1" applyBorder="1" applyAlignment="1">
      <alignment horizontal="center" vertical="center" wrapText="1"/>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5" fillId="5" borderId="0" xfId="0" applyFont="1" applyFill="1" applyAlignment="1">
      <alignment horizontal="center" vertical="center"/>
    </xf>
    <xf numFmtId="0" fontId="5" fillId="5" borderId="12" xfId="0" applyFont="1" applyFill="1" applyBorder="1" applyAlignment="1">
      <alignment horizontal="center" vertical="center"/>
    </xf>
    <xf numFmtId="0" fontId="5" fillId="5" borderId="9" xfId="0" applyFont="1" applyFill="1" applyBorder="1" applyAlignment="1">
      <alignment horizontal="center" vertical="center"/>
    </xf>
    <xf numFmtId="0" fontId="5" fillId="5" borderId="10" xfId="0" applyFont="1" applyFill="1" applyBorder="1" applyAlignment="1">
      <alignment horizontal="center" vertical="center"/>
    </xf>
    <xf numFmtId="0" fontId="1" fillId="4" borderId="0" xfId="1" applyFill="1" applyAlignment="1">
      <alignment horizontal="center" vertical="center" wrapText="1"/>
    </xf>
    <xf numFmtId="0" fontId="5" fillId="4" borderId="0" xfId="0" applyFont="1" applyFill="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5" fillId="4" borderId="11" xfId="0" applyFont="1" applyFill="1" applyBorder="1" applyAlignment="1">
      <alignment horizontal="center" vertical="center" wrapText="1"/>
    </xf>
    <xf numFmtId="0" fontId="5" fillId="4" borderId="12" xfId="0" applyFont="1" applyFill="1" applyBorder="1" applyAlignment="1">
      <alignment horizontal="center" vertical="center" wrapText="1"/>
    </xf>
    <xf numFmtId="0" fontId="5" fillId="4" borderId="8" xfId="0" applyFont="1" applyFill="1" applyBorder="1" applyAlignment="1">
      <alignment horizontal="center" vertical="center" wrapText="1"/>
    </xf>
    <xf numFmtId="0" fontId="5" fillId="4" borderId="9" xfId="0" applyFont="1" applyFill="1" applyBorder="1" applyAlignment="1">
      <alignment horizontal="center" vertical="center" wrapText="1"/>
    </xf>
    <xf numFmtId="0" fontId="5" fillId="4" borderId="10" xfId="0" applyFont="1" applyFill="1" applyBorder="1" applyAlignment="1">
      <alignment horizontal="center" vertical="center" wrapText="1"/>
    </xf>
    <xf numFmtId="14" fontId="1" fillId="4" borderId="4" xfId="1" applyNumberFormat="1" applyFill="1" applyBorder="1" applyAlignment="1">
      <alignment horizontal="center" vertical="center" wrapText="1"/>
    </xf>
    <xf numFmtId="14" fontId="7" fillId="4" borderId="4" xfId="1" applyNumberFormat="1" applyFont="1" applyFill="1" applyBorder="1" applyAlignment="1">
      <alignment horizontal="center" vertical="center" wrapText="1"/>
    </xf>
    <xf numFmtId="14" fontId="7" fillId="4" borderId="3" xfId="1" applyNumberFormat="1" applyFont="1" applyFill="1" applyBorder="1" applyAlignment="1">
      <alignment horizontal="center" vertical="center" wrapText="1"/>
    </xf>
    <xf numFmtId="14" fontId="1" fillId="4" borderId="15" xfId="1" applyNumberFormat="1" applyFill="1" applyBorder="1" applyAlignment="1">
      <alignment horizontal="center" vertical="center"/>
    </xf>
    <xf numFmtId="14" fontId="1" fillId="4" borderId="4" xfId="1" applyNumberFormat="1" applyFill="1" applyBorder="1" applyAlignment="1">
      <alignment horizontal="center" vertical="center"/>
    </xf>
    <xf numFmtId="14" fontId="1" fillId="4" borderId="3" xfId="1" applyNumberFormat="1" applyFill="1" applyBorder="1" applyAlignment="1">
      <alignment horizontal="center" vertical="center"/>
    </xf>
    <xf numFmtId="0" fontId="8" fillId="5" borderId="13" xfId="0" applyFont="1" applyFill="1" applyBorder="1" applyAlignment="1">
      <alignment horizontal="center" vertical="center" wrapText="1"/>
    </xf>
    <xf numFmtId="0" fontId="8" fillId="5" borderId="14" xfId="0" applyFont="1" applyFill="1" applyBorder="1" applyAlignment="1">
      <alignment horizontal="center" vertical="center" wrapText="1"/>
    </xf>
    <xf numFmtId="0" fontId="1" fillId="4" borderId="6" xfId="1" applyFill="1" applyBorder="1" applyAlignment="1">
      <alignment horizontal="center" wrapText="1"/>
    </xf>
    <xf numFmtId="0" fontId="1" fillId="4" borderId="7" xfId="1" applyFill="1" applyBorder="1" applyAlignment="1">
      <alignment horizontal="center" wrapText="1"/>
    </xf>
    <xf numFmtId="0" fontId="1" fillId="4" borderId="9" xfId="1" applyFill="1" applyBorder="1" applyAlignment="1">
      <alignment horizontal="center" wrapText="1"/>
    </xf>
    <xf numFmtId="0" fontId="1" fillId="4" borderId="10" xfId="1" applyFill="1" applyBorder="1" applyAlignment="1">
      <alignment horizontal="center" wrapText="1"/>
    </xf>
    <xf numFmtId="0" fontId="8" fillId="5" borderId="0" xfId="0" applyFont="1" applyFill="1" applyAlignment="1">
      <alignment horizontal="center" vertical="center"/>
    </xf>
  </cellXfs>
  <cellStyles count="2">
    <cellStyle name="Hyperlink" xfId="1" builtinId="8"/>
    <cellStyle name="Normal" xfId="0" builtinId="0"/>
  </cellStyles>
  <dxfs count="82">
    <dxf>
      <font>
        <strike val="0"/>
        <outline val="0"/>
        <shadow val="0"/>
        <u/>
        <vertAlign val="baseline"/>
        <sz val="11"/>
        <color theme="4" tint="-0.249977111117893"/>
        <name val="Agency FB"/>
        <family val="2"/>
        <scheme val="none"/>
      </font>
      <numFmt numFmtId="19" formatCode="m/d/yyyy"/>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b val="0"/>
        <i val="0"/>
        <strike val="0"/>
        <condense val="0"/>
        <extend val="0"/>
        <outline val="0"/>
        <shadow val="0"/>
        <u/>
        <vertAlign val="baseline"/>
        <sz val="11"/>
        <color theme="4" tint="-0.249977111117893"/>
        <name val="Agency FB"/>
        <family val="2"/>
        <scheme val="none"/>
      </font>
      <numFmt numFmtId="166" formatCode="d/mm/yyyy"/>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numFmt numFmtId="0" formatCode="General"/>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numFmt numFmtId="0" formatCode="General"/>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numFmt numFmtId="0" formatCode="General"/>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numFmt numFmtId="0" formatCode="General"/>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alignment horizontal="center" vertical="center" textRotation="0" wrapText="1" indent="0" justifyLastLine="0" shrinkToFit="0" readingOrder="0"/>
    </dxf>
    <dxf>
      <font>
        <strike val="0"/>
        <outline val="0"/>
        <shadow val="0"/>
        <u/>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numFmt numFmtId="164" formatCode="dd/mm/yy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numFmt numFmtId="164" formatCode="dd/mm/yy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fill>
        <patternFill patternType="none">
          <fgColor indexed="64"/>
          <bgColor indexed="65"/>
        </patternFill>
      </fill>
      <alignment horizontal="left" vertical="center" textRotation="0" wrapText="1" indent="0" justifyLastLine="0" shrinkToFit="0" readingOrder="0"/>
    </dxf>
    <dxf>
      <font>
        <strike val="0"/>
        <outline val="0"/>
        <shadow val="0"/>
        <u val="none"/>
        <vertAlign val="baseline"/>
        <sz val="11"/>
        <color theme="4" tint="-0.249977111117893"/>
        <name val="Agency FB"/>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alignment horizontal="center" vertical="center" textRotation="0" wrapText="1" indent="0" justifyLastLine="0" shrinkToFit="0" readingOrder="0"/>
    </dxf>
    <dxf>
      <font>
        <strike val="0"/>
        <outline val="0"/>
        <shadow val="0"/>
        <u val="none"/>
        <vertAlign val="baseline"/>
        <sz val="11"/>
        <color theme="4" tint="-0.249977111117893"/>
        <name val="Agency FB"/>
        <family val="2"/>
        <scheme val="none"/>
      </font>
      <numFmt numFmtId="165" formatCode="dd/mm/yyyy;@"/>
      <alignment horizontal="center" vertical="center" textRotation="0" wrapText="1" indent="0" justifyLastLine="0" shrinkToFit="0" readingOrder="0"/>
    </dxf>
    <dxf>
      <font>
        <b val="0"/>
        <i val="0"/>
        <strike val="0"/>
        <condense val="0"/>
        <extend val="0"/>
        <outline val="0"/>
        <shadow val="0"/>
        <u val="none"/>
        <vertAlign val="baseline"/>
        <sz val="11"/>
        <color auto="1"/>
        <name val="Agency FB"/>
        <family val="2"/>
        <scheme val="none"/>
      </font>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dxf>
    <dxf>
      <font>
        <strike val="0"/>
        <outline val="0"/>
        <shadow val="0"/>
        <vertAlign val="baseline"/>
        <sz val="11"/>
        <color theme="4" tint="-0.249977111117893"/>
        <name val="Agency FB"/>
        <family val="2"/>
        <scheme val="none"/>
      </font>
      <alignment horizontal="center" vertical="center" textRotation="0" wrapText="1" indent="0" justifyLastLine="0" shrinkToFit="0" readingOrder="0"/>
    </dxf>
    <dxf>
      <font>
        <strike val="0"/>
        <outline val="0"/>
        <shadow val="0"/>
        <vertAlign val="baseline"/>
        <sz val="11"/>
        <color theme="4" tint="-0.249977111117893"/>
        <name val="Agency FB"/>
        <family val="2"/>
        <scheme val="none"/>
      </font>
      <alignment horizontal="center" vertical="center" textRotation="0" wrapText="0"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Estilo de tabla 1" pivot="0" count="0" xr9:uid="{09C27B15-6EF2-4382-B249-00BE6D11E4C7}"/>
  </tableStyles>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[Matriz 2023-2024.xlsm]Hoja1!TablaDinámica3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FF00"/>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Hoja1!$B$3:$B$4</c:f>
              <c:strCache>
                <c:ptCount val="1"/>
                <c:pt idx="0">
                  <c:v>A Tiempo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Hoja1!$B$5:$B$48</c:f>
              <c:numCache>
                <c:formatCode>General</c:formatCode>
                <c:ptCount val="25"/>
                <c:pt idx="0">
                  <c:v>16</c:v>
                </c:pt>
                <c:pt idx="1">
                  <c:v>4</c:v>
                </c:pt>
                <c:pt idx="2">
                  <c:v>27</c:v>
                </c:pt>
                <c:pt idx="3">
                  <c:v>1</c:v>
                </c:pt>
                <c:pt idx="4">
                  <c:v>4</c:v>
                </c:pt>
                <c:pt idx="5">
                  <c:v>6</c:v>
                </c:pt>
                <c:pt idx="6">
                  <c:v>5</c:v>
                </c:pt>
                <c:pt idx="7">
                  <c:v>1</c:v>
                </c:pt>
                <c:pt idx="8">
                  <c:v>81</c:v>
                </c:pt>
                <c:pt idx="9">
                  <c:v>2</c:v>
                </c:pt>
                <c:pt idx="11">
                  <c:v>1</c:v>
                </c:pt>
                <c:pt idx="12">
                  <c:v>1</c:v>
                </c:pt>
                <c:pt idx="13">
                  <c:v>1</c:v>
                </c:pt>
                <c:pt idx="14">
                  <c:v>1</c:v>
                </c:pt>
                <c:pt idx="17">
                  <c:v>4</c:v>
                </c:pt>
                <c:pt idx="18">
                  <c:v>1</c:v>
                </c:pt>
                <c:pt idx="20">
                  <c:v>1</c:v>
                </c:pt>
                <c:pt idx="23">
                  <c:v>1</c:v>
                </c:pt>
                <c:pt idx="24">
                  <c:v>1</c:v>
                </c:pt>
              </c:numCache>
            </c:numRef>
          </c:val>
          <c:extLst>
            <c:ext xmlns:c16="http://schemas.microsoft.com/office/drawing/2014/chart" uri="{C3380CC4-5D6E-409C-BE32-E72D297353CC}">
              <c16:uniqueId val="{00000000-B9E7-4D27-84F2-25FAC97E4E58}"/>
            </c:ext>
          </c:extLst>
        </c:ser>
        <c:ser>
          <c:idx val="1"/>
          <c:order val="1"/>
          <c:tx>
            <c:strRef>
              <c:f>Hoja1!$C$3:$C$4</c:f>
              <c:strCache>
                <c:ptCount val="1"/>
                <c:pt idx="0">
                  <c:v>pendiente</c:v>
                </c:pt>
              </c:strCache>
            </c:strRef>
          </c:tx>
          <c:spPr>
            <a:solidFill>
              <a:srgbClr val="FFFF00"/>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Hoja1!$C$5:$C$48</c:f>
              <c:numCache>
                <c:formatCode>General</c:formatCode>
                <c:ptCount val="25"/>
                <c:pt idx="2">
                  <c:v>1</c:v>
                </c:pt>
                <c:pt idx="6">
                  <c:v>1</c:v>
                </c:pt>
                <c:pt idx="8">
                  <c:v>2</c:v>
                </c:pt>
                <c:pt idx="10">
                  <c:v>2</c:v>
                </c:pt>
                <c:pt idx="16">
                  <c:v>2</c:v>
                </c:pt>
                <c:pt idx="19">
                  <c:v>2</c:v>
                </c:pt>
              </c:numCache>
            </c:numRef>
          </c:val>
          <c:extLst>
            <c:ext xmlns:c16="http://schemas.microsoft.com/office/drawing/2014/chart" uri="{C3380CC4-5D6E-409C-BE32-E72D297353CC}">
              <c16:uniqueId val="{00000001-93F4-407A-8495-6CE5175E8483}"/>
            </c:ext>
          </c:extLst>
        </c:ser>
        <c:ser>
          <c:idx val="2"/>
          <c:order val="2"/>
          <c:tx>
            <c:strRef>
              <c:f>Hoja1!$D$3:$D$4</c:f>
              <c:strCache>
                <c:ptCount val="1"/>
                <c:pt idx="0">
                  <c:v>Retrasado</c:v>
                </c:pt>
              </c:strCache>
            </c:strRef>
          </c:tx>
          <c:spPr>
            <a:solidFill>
              <a:srgbClr val="FF0000"/>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Hoja1!$D$5:$D$48</c:f>
              <c:numCache>
                <c:formatCode>General</c:formatCode>
                <c:ptCount val="25"/>
                <c:pt idx="8">
                  <c:v>3</c:v>
                </c:pt>
                <c:pt idx="15">
                  <c:v>1</c:v>
                </c:pt>
                <c:pt idx="20">
                  <c:v>1</c:v>
                </c:pt>
                <c:pt idx="21">
                  <c:v>1</c:v>
                </c:pt>
                <c:pt idx="22">
                  <c:v>1</c:v>
                </c:pt>
              </c:numCache>
            </c:numRef>
          </c:val>
          <c:extLst>
            <c:ext xmlns:c16="http://schemas.microsoft.com/office/drawing/2014/chart" uri="{C3380CC4-5D6E-409C-BE32-E72D297353CC}">
              <c16:uniqueId val="{00000002-93F4-407A-8495-6CE5175E8483}"/>
            </c:ext>
          </c:extLst>
        </c:ser>
        <c:ser>
          <c:idx val="3"/>
          <c:order val="3"/>
          <c:tx>
            <c:strRef>
              <c:f>Hoja1!$E$3:$E$4</c:f>
              <c:strCache>
                <c:ptCount val="1"/>
                <c:pt idx="0">
                  <c:v>#REF!</c:v>
                </c:pt>
              </c:strCache>
            </c:strRef>
          </c:tx>
          <c:spPr>
            <a:solidFill>
              <a:schemeClr val="accent4"/>
            </a:solidFill>
            <a:ln>
              <a:noFill/>
            </a:ln>
            <a:effectLst/>
          </c:spPr>
          <c:invertIfNegative val="0"/>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Hoja1!$E$5:$E$48</c:f>
              <c:numCache>
                <c:formatCode>General</c:formatCode>
                <c:ptCount val="25"/>
                <c:pt idx="8">
                  <c:v>1</c:v>
                </c:pt>
              </c:numCache>
            </c:numRef>
          </c:val>
          <c:extLst>
            <c:ext xmlns:c16="http://schemas.microsoft.com/office/drawing/2014/chart" uri="{C3380CC4-5D6E-409C-BE32-E72D297353CC}">
              <c16:uniqueId val="{00000000-6D95-49B6-9474-DB55ED058664}"/>
            </c:ext>
          </c:extLst>
        </c:ser>
        <c:dLbls>
          <c:showLegendKey val="0"/>
          <c:showVal val="0"/>
          <c:showCatName val="0"/>
          <c:showSerName val="0"/>
          <c:showPercent val="0"/>
          <c:showBubbleSize val="0"/>
        </c:dLbls>
        <c:gapWidth val="150"/>
        <c:overlap val="100"/>
        <c:axId val="1432244336"/>
        <c:axId val="1432241840"/>
      </c:barChart>
      <c:catAx>
        <c:axId val="1432244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432241840"/>
        <c:crosses val="autoZero"/>
        <c:auto val="1"/>
        <c:lblAlgn val="ctr"/>
        <c:lblOffset val="100"/>
        <c:noMultiLvlLbl val="0"/>
      </c:catAx>
      <c:valAx>
        <c:axId val="1432241840"/>
        <c:scaling>
          <c:orientation val="minMax"/>
          <c:max val="5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crossAx val="1432244336"/>
        <c:crosses val="autoZero"/>
        <c:crossBetween val="between"/>
        <c:majorUnit val="5"/>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[Matriz 2023-2024.xlsm]Hoja1!TablaDinámica3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Hoja1!$B$3:$B$4</c:f>
              <c:strCache>
                <c:ptCount val="1"/>
                <c:pt idx="0">
                  <c:v>A Tiempo</c:v>
                </c:pt>
              </c:strCache>
            </c:strRef>
          </c:tx>
          <c:spPr>
            <a:solidFill>
              <a:schemeClr val="accent1"/>
            </a:solidFill>
            <a:ln>
              <a:noFill/>
            </a:ln>
            <a:effectLst/>
          </c:spPr>
          <c:invertIfNegative val="0"/>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Hoja1!$B$5:$B$48</c:f>
              <c:numCache>
                <c:formatCode>General</c:formatCode>
                <c:ptCount val="25"/>
                <c:pt idx="0">
                  <c:v>16</c:v>
                </c:pt>
                <c:pt idx="1">
                  <c:v>4</c:v>
                </c:pt>
                <c:pt idx="2">
                  <c:v>27</c:v>
                </c:pt>
                <c:pt idx="3">
                  <c:v>1</c:v>
                </c:pt>
                <c:pt idx="4">
                  <c:v>4</c:v>
                </c:pt>
                <c:pt idx="5">
                  <c:v>6</c:v>
                </c:pt>
                <c:pt idx="6">
                  <c:v>5</c:v>
                </c:pt>
                <c:pt idx="7">
                  <c:v>1</c:v>
                </c:pt>
                <c:pt idx="8">
                  <c:v>81</c:v>
                </c:pt>
                <c:pt idx="9">
                  <c:v>2</c:v>
                </c:pt>
                <c:pt idx="11">
                  <c:v>1</c:v>
                </c:pt>
                <c:pt idx="12">
                  <c:v>1</c:v>
                </c:pt>
                <c:pt idx="13">
                  <c:v>1</c:v>
                </c:pt>
                <c:pt idx="14">
                  <c:v>1</c:v>
                </c:pt>
                <c:pt idx="17">
                  <c:v>4</c:v>
                </c:pt>
                <c:pt idx="18">
                  <c:v>1</c:v>
                </c:pt>
                <c:pt idx="20">
                  <c:v>1</c:v>
                </c:pt>
                <c:pt idx="23">
                  <c:v>1</c:v>
                </c:pt>
                <c:pt idx="24">
                  <c:v>1</c:v>
                </c:pt>
              </c:numCache>
            </c:numRef>
          </c:val>
          <c:extLst>
            <c:ext xmlns:c16="http://schemas.microsoft.com/office/drawing/2014/chart" uri="{C3380CC4-5D6E-409C-BE32-E72D297353CC}">
              <c16:uniqueId val="{00000000-4DB4-458D-9E9F-02716D090EDA}"/>
            </c:ext>
          </c:extLst>
        </c:ser>
        <c:ser>
          <c:idx val="1"/>
          <c:order val="1"/>
          <c:tx>
            <c:strRef>
              <c:f>Hoja1!$C$3:$C$4</c:f>
              <c:strCache>
                <c:ptCount val="1"/>
                <c:pt idx="0">
                  <c:v>pendiente</c:v>
                </c:pt>
              </c:strCache>
            </c:strRef>
          </c:tx>
          <c:spPr>
            <a:solidFill>
              <a:schemeClr val="accent2"/>
            </a:solidFill>
            <a:ln>
              <a:noFill/>
            </a:ln>
            <a:effectLst/>
          </c:spPr>
          <c:invertIfNegative val="0"/>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Hoja1!$C$5:$C$48</c:f>
              <c:numCache>
                <c:formatCode>General</c:formatCode>
                <c:ptCount val="25"/>
                <c:pt idx="2">
                  <c:v>1</c:v>
                </c:pt>
                <c:pt idx="6">
                  <c:v>1</c:v>
                </c:pt>
                <c:pt idx="8">
                  <c:v>2</c:v>
                </c:pt>
                <c:pt idx="10">
                  <c:v>2</c:v>
                </c:pt>
                <c:pt idx="16">
                  <c:v>2</c:v>
                </c:pt>
                <c:pt idx="19">
                  <c:v>2</c:v>
                </c:pt>
              </c:numCache>
            </c:numRef>
          </c:val>
          <c:extLst>
            <c:ext xmlns:c16="http://schemas.microsoft.com/office/drawing/2014/chart" uri="{C3380CC4-5D6E-409C-BE32-E72D297353CC}">
              <c16:uniqueId val="{00000001-E16F-4B2E-BD17-CB03962FBD92}"/>
            </c:ext>
          </c:extLst>
        </c:ser>
        <c:ser>
          <c:idx val="2"/>
          <c:order val="2"/>
          <c:tx>
            <c:strRef>
              <c:f>Hoja1!$D$3:$D$4</c:f>
              <c:strCache>
                <c:ptCount val="1"/>
                <c:pt idx="0">
                  <c:v>Retrasado</c:v>
                </c:pt>
              </c:strCache>
            </c:strRef>
          </c:tx>
          <c:spPr>
            <a:solidFill>
              <a:schemeClr val="accent3"/>
            </a:solidFill>
            <a:ln>
              <a:noFill/>
            </a:ln>
            <a:effectLst/>
          </c:spPr>
          <c:invertIfNegative val="0"/>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Hoja1!$D$5:$D$48</c:f>
              <c:numCache>
                <c:formatCode>General</c:formatCode>
                <c:ptCount val="25"/>
                <c:pt idx="8">
                  <c:v>3</c:v>
                </c:pt>
                <c:pt idx="15">
                  <c:v>1</c:v>
                </c:pt>
                <c:pt idx="20">
                  <c:v>1</c:v>
                </c:pt>
                <c:pt idx="21">
                  <c:v>1</c:v>
                </c:pt>
                <c:pt idx="22">
                  <c:v>1</c:v>
                </c:pt>
              </c:numCache>
            </c:numRef>
          </c:val>
          <c:extLst>
            <c:ext xmlns:c16="http://schemas.microsoft.com/office/drawing/2014/chart" uri="{C3380CC4-5D6E-409C-BE32-E72D297353CC}">
              <c16:uniqueId val="{00000002-E16F-4B2E-BD17-CB03962FBD92}"/>
            </c:ext>
          </c:extLst>
        </c:ser>
        <c:ser>
          <c:idx val="3"/>
          <c:order val="3"/>
          <c:tx>
            <c:strRef>
              <c:f>Hoja1!$E$3:$E$4</c:f>
              <c:strCache>
                <c:ptCount val="1"/>
                <c:pt idx="0">
                  <c:v>#REF!</c:v>
                </c:pt>
              </c:strCache>
            </c:strRef>
          </c:tx>
          <c:spPr>
            <a:solidFill>
              <a:schemeClr val="accent4"/>
            </a:solidFill>
            <a:ln>
              <a:noFill/>
            </a:ln>
            <a:effectLst/>
          </c:spPr>
          <c:invertIfNegative val="0"/>
          <c:cat>
            <c:multiLvlStrRef>
              <c:f>Hoja1!$A$5:$A$48</c:f>
              <c:multiLvlStrCache>
                <c:ptCount val="25"/>
                <c:lvl>
                  <c:pt idx="0">
                    <c:v>COMENTARIOS A RES</c:v>
                  </c:pt>
                  <c:pt idx="1">
                    <c:v>REPORTE</c:v>
                  </c:pt>
                  <c:pt idx="2">
                    <c:v>REQUERIMIENTO</c:v>
                  </c:pt>
                  <c:pt idx="3">
                    <c:v>COMENTARIOS A RES</c:v>
                  </c:pt>
                  <c:pt idx="4">
                    <c:v>REPORTE</c:v>
                  </c:pt>
                  <c:pt idx="5">
                    <c:v>REQUERIMIENTO</c:v>
                  </c:pt>
                  <c:pt idx="6">
                    <c:v>COMENTARIOS A RES</c:v>
                  </c:pt>
                  <c:pt idx="7">
                    <c:v>REPORTE</c:v>
                  </c:pt>
                  <c:pt idx="8">
                    <c:v>REQUERIMIENTO</c:v>
                  </c:pt>
                  <c:pt idx="9">
                    <c:v>COMENTARIOS A RES</c:v>
                  </c:pt>
                  <c:pt idx="10">
                    <c:v>REQUERIMIENTO</c:v>
                  </c:pt>
                  <c:pt idx="11">
                    <c:v>REQUERIMIENTO</c:v>
                  </c:pt>
                  <c:pt idx="12">
                    <c:v>REPORTE</c:v>
                  </c:pt>
                  <c:pt idx="13">
                    <c:v>REQUERIMIENTO</c:v>
                  </c:pt>
                  <c:pt idx="14">
                    <c:v>REPORTE</c:v>
                  </c:pt>
                  <c:pt idx="15">
                    <c:v>REQUERIMIENTO</c:v>
                  </c:pt>
                  <c:pt idx="16">
                    <c:v>REQUERIMIENTO</c:v>
                  </c:pt>
                  <c:pt idx="17">
                    <c:v>REQUERIMIENTO</c:v>
                  </c:pt>
                  <c:pt idx="18">
                    <c:v>REQUERIMIENTO</c:v>
                  </c:pt>
                  <c:pt idx="19">
                    <c:v>REQUERIMIENTO</c:v>
                  </c:pt>
                  <c:pt idx="20">
                    <c:v>REQUERIMIENTO</c:v>
                  </c:pt>
                  <c:pt idx="21">
                    <c:v>REQUERIMIENTO</c:v>
                  </c:pt>
                  <c:pt idx="22">
                    <c:v>REQUERIMIENTO</c:v>
                  </c:pt>
                  <c:pt idx="23">
                    <c:v>REQUERIMIENTO</c:v>
                  </c:pt>
                  <c:pt idx="24">
                    <c:v>REQUERIMIENTO</c:v>
                  </c:pt>
                </c:lvl>
                <c:lvl>
                  <c:pt idx="0">
                    <c:v>CREG</c:v>
                  </c:pt>
                  <c:pt idx="3">
                    <c:v>MME</c:v>
                  </c:pt>
                  <c:pt idx="6">
                    <c:v>SSPD</c:v>
                  </c:pt>
                  <c:pt idx="9">
                    <c:v>UPME</c:v>
                  </c:pt>
                  <c:pt idx="10">
                    <c:v>(blank)</c:v>
                  </c:pt>
                  <c:pt idx="11">
                    <c:v>Alcaldia Municipal de Chiquinquirá</c:v>
                  </c:pt>
                  <c:pt idx="12">
                    <c:v>DANE</c:v>
                  </c:pt>
                  <c:pt idx="13">
                    <c:v>SIP Municipio de Sutatausa</c:v>
                  </c:pt>
                  <c:pt idx="14">
                    <c:v>SDP</c:v>
                  </c:pt>
                  <c:pt idx="16">
                    <c:v>AEGR</c:v>
                  </c:pt>
                  <c:pt idx="17">
                    <c:v>VARIOS</c:v>
                  </c:pt>
                  <c:pt idx="18">
                    <c:v>Alcaldia de Soacha</c:v>
                  </c:pt>
                  <c:pt idx="19">
                    <c:v>Alcaldia de Bucaramanga</c:v>
                  </c:pt>
                  <c:pt idx="20">
                    <c:v>KPMG</c:v>
                  </c:pt>
                  <c:pt idx="21">
                    <c:v>Municipio de Duitama</c:v>
                  </c:pt>
                  <c:pt idx="22">
                    <c:v>Bancolombia S.A. - Gerencia Servicios Inversiones y Tesoreria</c:v>
                  </c:pt>
                  <c:pt idx="23">
                    <c:v>VANTI ESP SA</c:v>
                  </c:pt>
                  <c:pt idx="24">
                    <c:v>Personeria Municipal de CHIA</c:v>
                  </c:pt>
                </c:lvl>
              </c:multiLvlStrCache>
            </c:multiLvlStrRef>
          </c:cat>
          <c:val>
            <c:numRef>
              <c:f>Hoja1!$E$5:$E$48</c:f>
              <c:numCache>
                <c:formatCode>General</c:formatCode>
                <c:ptCount val="25"/>
                <c:pt idx="8">
                  <c:v>1</c:v>
                </c:pt>
              </c:numCache>
            </c:numRef>
          </c:val>
          <c:extLst>
            <c:ext xmlns:c16="http://schemas.microsoft.com/office/drawing/2014/chart" uri="{C3380CC4-5D6E-409C-BE32-E72D297353CC}">
              <c16:uniqueId val="{00000001-D7F8-4E27-83F3-52F11CFEA1A6}"/>
            </c:ext>
          </c:extLst>
        </c:ser>
        <c:dLbls>
          <c:showLegendKey val="0"/>
          <c:showVal val="0"/>
          <c:showCatName val="0"/>
          <c:showSerName val="0"/>
          <c:showPercent val="0"/>
          <c:showBubbleSize val="0"/>
        </c:dLbls>
        <c:gapWidth val="150"/>
        <c:overlap val="100"/>
        <c:axId val="1432244336"/>
        <c:axId val="1432241840"/>
      </c:barChart>
      <c:catAx>
        <c:axId val="143224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2241840"/>
        <c:crosses val="autoZero"/>
        <c:auto val="1"/>
        <c:lblAlgn val="ctr"/>
        <c:lblOffset val="100"/>
        <c:noMultiLvlLbl val="0"/>
      </c:catAx>
      <c:valAx>
        <c:axId val="143224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2244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39</xdr:row>
      <xdr:rowOff>190498</xdr:rowOff>
    </xdr:from>
    <xdr:to>
      <xdr:col>16</xdr:col>
      <xdr:colOff>136072</xdr:colOff>
      <xdr:row>70</xdr:row>
      <xdr:rowOff>136071</xdr:rowOff>
    </xdr:to>
    <xdr:graphicFrame macro="">
      <xdr:nvGraphicFramePr>
        <xdr:cNvPr id="2" name="Gráfico 1">
          <a:extLst>
            <a:ext uri="{FF2B5EF4-FFF2-40B4-BE49-F238E27FC236}">
              <a16:creationId xmlns:a16="http://schemas.microsoft.com/office/drawing/2014/main" id="{4D3F8D5B-4750-4293-B84E-734F6E7D7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32107</xdr:colOff>
      <xdr:row>0</xdr:row>
      <xdr:rowOff>32107</xdr:rowOff>
    </xdr:from>
    <xdr:to>
      <xdr:col>14</xdr:col>
      <xdr:colOff>0</xdr:colOff>
      <xdr:row>3</xdr:row>
      <xdr:rowOff>186358</xdr:rowOff>
    </xdr:to>
    <xdr:pic>
      <xdr:nvPicPr>
        <xdr:cNvPr id="5" name="Imagen 4">
          <a:extLst>
            <a:ext uri="{FF2B5EF4-FFF2-40B4-BE49-F238E27FC236}">
              <a16:creationId xmlns:a16="http://schemas.microsoft.com/office/drawing/2014/main" id="{0C714049-AF35-67D1-49DA-633F95334063}"/>
            </a:ext>
          </a:extLst>
        </xdr:cNvPr>
        <xdr:cNvPicPr>
          <a:picLocks noChangeAspect="1"/>
        </xdr:cNvPicPr>
      </xdr:nvPicPr>
      <xdr:blipFill>
        <a:blip xmlns:r="http://schemas.openxmlformats.org/officeDocument/2006/relationships" r:embed="rId2"/>
        <a:stretch>
          <a:fillRect/>
        </a:stretch>
      </xdr:blipFill>
      <xdr:spPr>
        <a:xfrm>
          <a:off x="8925558" y="32107"/>
          <a:ext cx="2628681" cy="1096398"/>
        </a:xfrm>
        <a:prstGeom prst="rect">
          <a:avLst/>
        </a:prstGeom>
      </xdr:spPr>
    </xdr:pic>
    <xdr:clientData/>
  </xdr:twoCellAnchor>
  <xdr:twoCellAnchor editAs="oneCell">
    <xdr:from>
      <xdr:col>10</xdr:col>
      <xdr:colOff>460196</xdr:colOff>
      <xdr:row>5</xdr:row>
      <xdr:rowOff>41226</xdr:rowOff>
    </xdr:from>
    <xdr:to>
      <xdr:col>12</xdr:col>
      <xdr:colOff>74915</xdr:colOff>
      <xdr:row>10</xdr:row>
      <xdr:rowOff>181535</xdr:rowOff>
    </xdr:to>
    <xdr:pic>
      <xdr:nvPicPr>
        <xdr:cNvPr id="7" name="Imagen 6" descr="Buscar - Iconos gratis de archivos y carpetas">
          <a:extLst>
            <a:ext uri="{FF2B5EF4-FFF2-40B4-BE49-F238E27FC236}">
              <a16:creationId xmlns:a16="http://schemas.microsoft.com/office/drawing/2014/main" id="{6C12DBBC-AB23-D94C-27C3-C4CD0DF060A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006600" y="1207771"/>
          <a:ext cx="1070225" cy="11574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491606</xdr:colOff>
      <xdr:row>11</xdr:row>
      <xdr:rowOff>72635</xdr:rowOff>
    </xdr:from>
    <xdr:to>
      <xdr:col>12</xdr:col>
      <xdr:colOff>20708</xdr:colOff>
      <xdr:row>15</xdr:row>
      <xdr:rowOff>177978</xdr:rowOff>
    </xdr:to>
    <xdr:pic macro="[0]!grabar">
      <xdr:nvPicPr>
        <xdr:cNvPr id="8" name="Imagen 7" descr="Guardar el archivo - Iconos gratis de multimedia">
          <a:extLst>
            <a:ext uri="{FF2B5EF4-FFF2-40B4-BE49-F238E27FC236}">
              <a16:creationId xmlns:a16="http://schemas.microsoft.com/office/drawing/2014/main" id="{0481241A-06C4-7456-1D80-81D3644CBC4C}"/>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026959" y="2660950"/>
          <a:ext cx="968206" cy="923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460196</xdr:colOff>
      <xdr:row>16</xdr:row>
      <xdr:rowOff>212466</xdr:rowOff>
    </xdr:from>
    <xdr:to>
      <xdr:col>12</xdr:col>
      <xdr:colOff>96319</xdr:colOff>
      <xdr:row>23</xdr:row>
      <xdr:rowOff>1659</xdr:rowOff>
    </xdr:to>
    <xdr:pic macro="[0]!Limpiar">
      <xdr:nvPicPr>
        <xdr:cNvPr id="9" name="Imagen 8" descr="Limpieza - Iconos gratis de computadora">
          <a:extLst>
            <a:ext uri="{FF2B5EF4-FFF2-40B4-BE49-F238E27FC236}">
              <a16:creationId xmlns:a16="http://schemas.microsoft.com/office/drawing/2014/main" id="{ABB28809-6D4B-DA31-04D5-D22F49D2C3E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006600" y="3754910"/>
          <a:ext cx="1091629" cy="12109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5</xdr:row>
      <xdr:rowOff>176212</xdr:rowOff>
    </xdr:from>
    <xdr:to>
      <xdr:col>12</xdr:col>
      <xdr:colOff>142875</xdr:colOff>
      <xdr:row>20</xdr:row>
      <xdr:rowOff>61912</xdr:rowOff>
    </xdr:to>
    <xdr:graphicFrame macro="">
      <xdr:nvGraphicFramePr>
        <xdr:cNvPr id="2" name="Gráfico 1">
          <a:extLst>
            <a:ext uri="{FF2B5EF4-FFF2-40B4-BE49-F238E27FC236}">
              <a16:creationId xmlns:a16="http://schemas.microsoft.com/office/drawing/2014/main" id="{692B2C58-ADE7-7B9B-1EB4-AB8FF556C2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Ramirez Varon Alejandro" id="{3B541734-34E6-4F15-985B-BC021BBC7374}" userId="S::00082409@grupovanti.com::28751913-6d65-4585-b19f-99cf650b989c"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irez Varon Alejandro " refreshedDate="45090.408986689814" createdVersion="8" refreshedVersion="7" minRefreshableVersion="3" recordCount="242" xr:uid="{6E320B6E-8699-4328-B4A6-FE82603EE978}">
  <cacheSource type="worksheet">
    <worksheetSource ref="A1:L1048576" sheet="BD"/>
  </cacheSource>
  <cacheFields count="12">
    <cacheField name="Fecha de Recibido" numFmtId="0">
      <sharedItems containsDate="1" containsBlank="1" containsMixedTypes="1" minDate="1906-08-24T00:00:00" maxDate="2023-11-30T00:00:00" count="111">
        <s v=" 05/06/2023"/>
        <d v="2023-06-05T00:00:00"/>
        <d v="2023-05-31T00:00:00"/>
        <d v="2023-05-30T00:00:00"/>
        <d v="2023-05-28T00:00:00"/>
        <d v="2023-05-29T00:00:00"/>
        <d v="2023-05-24T00:00:00"/>
        <d v="2023-05-18T00:00:00"/>
        <d v="2023-05-17T00:00:00"/>
        <d v="2023-05-16T00:00:00"/>
        <d v="2023-05-12T00:00:00"/>
        <d v="2023-05-15T00:00:00"/>
        <d v="2023-04-07T00:00:00"/>
        <d v="2023-05-04T00:00:00"/>
        <d v="2023-05-09T00:00:00"/>
        <d v="2023-05-08T00:00:00"/>
        <d v="2023-04-24T00:00:00"/>
        <m/>
        <d v="2023-04-27T00:00:00"/>
        <d v="2023-04-29T00:00:00"/>
        <d v="2023-04-26T00:00:00"/>
        <d v="2023-04-25T00:00:00"/>
        <s v="20-04--23"/>
        <d v="2022-11-29T00:00:00"/>
        <d v="2023-04-19T00:00:00"/>
        <d v="2023-04-18T00:00:00"/>
        <d v="2023-04-14T00:00:00"/>
        <d v="2023-04-13T00:00:00"/>
        <d v="2023-04-12T00:00:00"/>
        <d v="2023-04-10T00:00:00"/>
        <d v="2023-03-29T00:00:00"/>
        <d v="2023-03-28T00:00:00"/>
        <d v="2023-03-27T00:00:00"/>
        <d v="2023-03-22T00:00:00"/>
        <d v="2023-03-14T00:00:00"/>
        <d v="2023-03-13T00:00:00"/>
        <d v="2023-03-06T00:00:00"/>
        <d v="2023-03-03T00:00:00"/>
        <d v="2023-02-20T00:00:00"/>
        <d v="2023-02-17T00:00:00"/>
        <d v="2023-02-14T00:00:00"/>
        <d v="2023-01-13T00:00:00"/>
        <d v="2023-01-01T00:00:00"/>
        <d v="2022-12-29T00:00:00"/>
        <d v="2022-12-19T00:00:00"/>
        <d v="2022-10-24T00:00:00"/>
        <d v="2022-10-12T00:00:00"/>
        <d v="2022-10-04T00:00:00"/>
        <d v="2022-09-29T00:00:00"/>
        <d v="2022-09-26T00:00:00"/>
        <d v="2022-09-23T00:00:00"/>
        <d v="2022-09-22T00:00:00"/>
        <d v="2022-09-21T00:00:00"/>
        <d v="2022-09-20T00:00:00"/>
        <d v="2022-09-19T00:00:00"/>
        <d v="2022-09-14T00:00:00"/>
        <d v="2022-09-02T00:00:00"/>
        <d v="2022-08-24T00:00:00"/>
        <d v="2022-08-23T00:00:00"/>
        <d v="2022-08-18T00:00:00"/>
        <d v="2022-08-16T00:00:00"/>
        <d v="2022-07-13T00:00:00"/>
        <d v="2022-07-11T00:00:00"/>
        <d v="2022-07-05T00:00:00"/>
        <d v="2022-06-23T00:00:00"/>
        <d v="2022-06-21T00:00:00"/>
        <d v="2022-06-17T00:00:00"/>
        <d v="2022-06-15T00:00:00"/>
        <d v="2022-06-12T00:00:00"/>
        <d v="2022-06-09T00:00:00"/>
        <d v="2022-06-08T00:00:00"/>
        <d v="2022-06-06T00:00:00"/>
        <d v="2022-05-31T00:00:00"/>
        <d v="2022-05-26T00:00:00"/>
        <d v="2022-05-17T00:00:00"/>
        <d v="2022-05-12T00:00:00"/>
        <d v="2022-05-05T00:00:00"/>
        <d v="2022-05-01T00:00:00"/>
        <d v="2022-04-29T00:00:00"/>
        <d v="2022-04-25T00:00:00"/>
        <d v="2022-04-22T00:00:00"/>
        <d v="2022-04-20T00:00:00"/>
        <d v="2022-04-12T00:00:00"/>
        <d v="2022-04-07T00:00:00"/>
        <d v="2022-04-05T00:00:00"/>
        <d v="2022-03-31T00:00:00"/>
        <d v="2022-03-23T00:00:00"/>
        <d v="2022-03-18T00:00:00"/>
        <d v="2022-03-15T00:00:00"/>
        <d v="2022-03-07T00:00:00"/>
        <d v="2022-03-02T00:00:00"/>
        <d v="2022-02-23T00:00:00"/>
        <d v="2022-02-22T00:00:00"/>
        <d v="2022-02-21T00:00:00"/>
        <d v="2022-02-18T00:00:00"/>
        <d v="2022-02-12T00:00:00"/>
        <d v="2022-02-11T00:00:00"/>
        <d v="2022-02-08T00:00:00"/>
        <d v="2022-02-04T00:00:00"/>
        <d v="2022-01-31T00:00:00"/>
        <d v="2022-01-27T00:00:00"/>
        <d v="2022-01-25T00:00:00"/>
        <d v="2022-01-14T00:00:00"/>
        <d v="2022-01-13T00:00:00"/>
        <d v="2022-01-12T00:00:00"/>
        <d v="2022-01-03T00:00:00"/>
        <d v="2021-12-29T00:00:00"/>
        <d v="1906-08-24T00:00:00"/>
        <d v="2023-04-17T00:00:00" u="1"/>
        <d v="2023-01-03T00:00:00" u="1"/>
        <d v="2023-11-29T00:00:00" u="1"/>
      </sharedItems>
    </cacheField>
    <cacheField name="Entidad " numFmtId="0">
      <sharedItems containsBlank="1" count="21">
        <s v="SSPD"/>
        <s v="CREG"/>
        <s v="MME"/>
        <s v="Alcaldia de Soacha"/>
        <s v="Alcaldia de Bucaramanga"/>
        <s v="KPMG"/>
        <s v="Municipio de Duitama"/>
        <s v="Bancolombia S.A. - Gerencia Servicios Inversiones y Tesoreria"/>
        <s v="VANTI ESP SA"/>
        <s v="Personeria Municipal de CHIA"/>
        <s v="Piedecuesta  Oficina Asesora de Planeacion"/>
        <m/>
        <s v="Consejo de Bogotá"/>
        <s v="Alcaldia Municipal de Chiquinquirá"/>
        <s v="DANE"/>
        <s v="SIP Municipio de Sutatausa"/>
        <s v="SDP"/>
        <s v="UPME"/>
        <s v="AEGR"/>
        <s v="AERG"/>
        <s v="VARIOS"/>
      </sharedItems>
    </cacheField>
    <cacheField name="Asunto" numFmtId="0">
      <sharedItems containsBlank="1" longText="1"/>
    </cacheField>
    <cacheField name="Fecha MAX de Resp" numFmtId="0">
      <sharedItems containsNonDate="0" containsDate="1" containsString="0" containsBlank="1" minDate="1906-08-24T00:00:00" maxDate="2023-11-16T00:00:00"/>
    </cacheField>
    <cacheField name="Fecha de Resp" numFmtId="0">
      <sharedItems containsNonDate="0" containsDate="1" containsString="0" containsBlank="1" minDate="1906-08-24T00:00:00" maxDate="2023-08-16T00:00:00"/>
    </cacheField>
    <cacheField name="Resumen " numFmtId="0">
      <sharedItems containsBlank="1" longText="1"/>
    </cacheField>
    <cacheField name="Hipervinculo " numFmtId="0">
      <sharedItems containsBlank="1" longText="1"/>
    </cacheField>
    <cacheField name="Hipervinculo Respuesta " numFmtId="0">
      <sharedItems containsBlank="1" longText="1"/>
    </cacheField>
    <cacheField name="Adjuntos / COD" numFmtId="0">
      <sharedItems containsBlank="1" longText="1"/>
    </cacheField>
    <cacheField name="FILIAL" numFmtId="0">
      <sharedItems containsBlank="1" count="6">
        <s v="GN-VANTI"/>
        <s v="GNCB"/>
        <s v="GOR"/>
        <s v="GNCR"/>
        <s v="GN_VANTI"/>
        <m/>
      </sharedItems>
    </cacheField>
    <cacheField name="Tipologia " numFmtId="0">
      <sharedItems containsBlank="1" count="16">
        <s v="REQUERIMIENTO"/>
        <s v="SOLICITUD"/>
        <s v="Asignacion Subsidios"/>
        <s v="CONCURSO ECONOMICO"/>
        <s v="RESPUESTA"/>
        <s v="Derecho de Peticion Usuario"/>
        <s v="RPQ Subsidios &amp; Contribuciones"/>
        <s v="Encuestas"/>
        <s v="REPORTE"/>
        <s v="Certificado"/>
        <s v="COMENTARIOS A RES"/>
        <s v="Vinculacion a Expedientes"/>
        <s v="Revision Reversiones"/>
        <s v="GREMIOS"/>
        <m/>
        <s v="COMENTARIOS A RESOLUCIONES"/>
      </sharedItems>
    </cacheField>
    <cacheField name="ESTADO" numFmtId="0">
      <sharedItems containsBlank="1" count="5">
        <e v="#REF!"/>
        <s v="A Tiempo"/>
        <s v="pendiente"/>
        <s v="Retrasado"/>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irez Varon Alejandro " refreshedDate="45097.479928472225" createdVersion="7" refreshedVersion="7" minRefreshableVersion="3" recordCount="241" xr:uid="{44D691AA-A811-43AC-BB84-B1E641D24FF4}">
  <cacheSource type="worksheet">
    <worksheetSource name="Tabla2"/>
  </cacheSource>
  <cacheFields count="13">
    <cacheField name="Fecha de Recibido" numFmtId="14">
      <sharedItems containsNonDate="0" containsDate="1" containsString="0" containsBlank="1" minDate="1906-08-24T00:00:00" maxDate="2023-06-16T00:00:00" count="111">
        <d v="2023-06-15T00:00:00"/>
        <d v="2023-06-14T00:00:00"/>
        <d v="2023-06-08T00:00:00"/>
        <d v="2023-02-20T00:00:00"/>
        <d v="2023-06-07T00:00:00"/>
        <d v="2023-06-05T00:00:00"/>
        <d v="2023-05-31T00:00:00"/>
        <d v="2023-05-30T00:00:00"/>
        <d v="2023-05-28T00:00:00"/>
        <d v="2023-05-29T00:00:00"/>
        <d v="2023-05-24T00:00:00"/>
        <d v="2023-05-18T00:00:00"/>
        <d v="2023-05-17T00:00:00"/>
        <d v="2023-05-16T00:00:00"/>
        <d v="2023-05-12T00:00:00"/>
        <d v="2023-05-15T00:00:00"/>
        <d v="2023-04-07T00:00:00"/>
        <d v="2023-05-04T00:00:00"/>
        <d v="2023-05-09T00:00:00"/>
        <d v="2023-05-08T00:00:00"/>
        <d v="2023-04-24T00:00:00"/>
        <m/>
        <d v="2023-04-27T00:00:00"/>
        <d v="2023-04-29T00:00:00"/>
        <d v="2023-04-26T00:00:00"/>
        <d v="2023-04-25T00:00:00"/>
        <d v="2023-04-20T00:00:00"/>
        <d v="2022-11-29T00:00:00"/>
        <d v="2023-04-19T00:00:00"/>
        <d v="2023-04-18T00:00:00"/>
        <d v="2023-04-14T00:00:00"/>
        <d v="2023-04-13T00:00:00"/>
        <d v="2023-04-12T00:00:00"/>
        <d v="2023-04-10T00:00:00"/>
        <d v="2023-03-29T00:00:00"/>
        <d v="2023-03-28T00:00:00"/>
        <d v="2023-03-27T00:00:00"/>
        <d v="2023-03-22T00:00:00"/>
        <d v="2023-03-14T00:00:00"/>
        <d v="2023-03-13T00:00:00"/>
        <d v="2023-03-06T00:00:00"/>
        <d v="2023-03-03T00:00:00"/>
        <d v="2023-02-17T00:00:00"/>
        <d v="2023-02-14T00:00:00"/>
        <d v="2023-01-13T00:00:00"/>
        <d v="2023-01-01T00:00:00"/>
        <d v="2022-12-29T00:00:00"/>
        <d v="2022-12-19T00:00:00"/>
        <d v="2022-10-24T00:00:00"/>
        <d v="2022-10-12T00:00:00"/>
        <d v="2022-10-04T00:00:00"/>
        <d v="2022-09-29T00:00:00"/>
        <d v="2022-09-26T00:00:00"/>
        <d v="2022-09-23T00:00:00"/>
        <d v="2022-09-22T00:00:00"/>
        <d v="2022-09-21T00:00:00"/>
        <d v="2022-09-20T00:00:00"/>
        <d v="2022-09-19T00:00:00"/>
        <d v="2022-09-14T00:00:00"/>
        <d v="2022-09-02T00:00:00"/>
        <d v="2022-08-24T00:00:00"/>
        <d v="2022-08-23T00:00:00"/>
        <d v="2022-08-18T00:00:00"/>
        <d v="2022-08-16T00:00:00"/>
        <d v="2022-07-13T00:00:00"/>
        <d v="2022-07-11T00:00:00"/>
        <d v="2022-07-05T00:00:00"/>
        <d v="2022-06-23T00:00:00"/>
        <d v="2022-06-21T00:00:00"/>
        <d v="2022-06-17T00:00:00"/>
        <d v="2022-06-15T00:00:00"/>
        <d v="2022-06-12T00:00:00"/>
        <d v="2022-06-09T00:00:00"/>
        <d v="2022-06-08T00:00:00"/>
        <d v="2022-06-06T00:00:00"/>
        <d v="2022-05-31T00:00:00"/>
        <d v="2022-05-26T00:00:00"/>
        <d v="2022-05-17T00:00:00"/>
        <d v="2022-05-12T00:00:00"/>
        <d v="2022-05-05T00:00:00"/>
        <d v="2022-05-01T00:00:00"/>
        <d v="2022-04-29T00:00:00"/>
        <d v="2022-04-25T00:00:00"/>
        <d v="2022-04-22T00:00:00"/>
        <d v="2022-04-20T00:00:00"/>
        <d v="2022-04-12T00:00:00"/>
        <d v="2022-04-07T00:00:00"/>
        <d v="2022-04-05T00:00:00"/>
        <d v="2022-03-31T00:00:00"/>
        <d v="2022-03-23T00:00:00"/>
        <d v="2022-03-18T00:00:00"/>
        <d v="2022-03-15T00:00:00"/>
        <d v="2022-03-07T00:00:00"/>
        <d v="2022-03-02T00:00:00"/>
        <d v="2022-02-23T00:00:00"/>
        <d v="2022-02-22T00:00:00"/>
        <d v="2022-02-21T00:00:00"/>
        <d v="2022-02-18T00:00:00"/>
        <d v="2022-02-12T00:00:00"/>
        <d v="2022-02-11T00:00:00"/>
        <d v="2022-02-08T00:00:00"/>
        <d v="2022-02-04T00:00:00"/>
        <d v="2022-01-31T00:00:00"/>
        <d v="2022-01-27T00:00:00"/>
        <d v="2022-01-25T00:00:00"/>
        <d v="2022-01-14T00:00:00"/>
        <d v="2022-01-13T00:00:00"/>
        <d v="2022-01-12T00:00:00"/>
        <d v="2022-01-03T00:00:00"/>
        <d v="2021-12-29T00:00:00"/>
        <d v="1906-08-24T00:00:00"/>
      </sharedItems>
    </cacheField>
    <cacheField name="Entidad " numFmtId="0">
      <sharedItems containsBlank="1" count="21">
        <s v="SSPD"/>
        <s v="CREG"/>
        <s v="MME"/>
        <s v="Alcaldia de Soacha"/>
        <s v="Alcaldia de Bucaramanga"/>
        <s v="KPMG"/>
        <s v="Municipio de Duitama"/>
        <s v="Bancolombia S.A. - Gerencia Servicios Inversiones y Tesoreria"/>
        <s v="VANTI ESP SA"/>
        <s v="Personeria Municipal de CHIA"/>
        <s v="Piedecuesta  Oficina Asesora de Planeacion"/>
        <m/>
        <s v="Consejo de Bogotá"/>
        <s v="Alcaldia Municipal de Chiquinquirá"/>
        <s v="DANE"/>
        <s v="SIP Municipio de Sutatausa"/>
        <s v="SDP"/>
        <s v="UPME"/>
        <s v="AEGR"/>
        <s v="AERG"/>
        <s v="VARIOS"/>
      </sharedItems>
    </cacheField>
    <cacheField name="Asunto" numFmtId="0">
      <sharedItems count="196" longText="1">
        <s v="RV: CERTIFICADO S-2023-137807 // Traslado por competencia Traslado por competencia del radicado No.20235290200922 del_x000a_17/01/2023 // Traslado por Competencia Radicado EAAB E-2023-057273 _x000a_Radicado SSPD No.: 20238121975471 del 06/06/2023 _x000a_Ref.: Traslado por competencia del radicado SSPD 20235290200922 _x000a_del 17/01/2023 _x000a_Usuario: ZORAIDA TIJO PRIETO"/>
        <s v="RV: Notificacion electronica radicado salida No 20238001108921 // Requerimiento a la ESP para completar información._x000a_ Radicado SSPD 20215291732682 del 09 de julio de 2021._x000a_ Expediente No. 2021800420112051E"/>
        <s v="RV: Notificacion electronica radicado salida No 20238001109091 // Requerimiento a la ESP para completar información._x000a_ Radicado SSPD 20215291733252 del 09 de julio de 2021._x000a_ Expediente No. 2022800420100394E"/>
        <s v="Publicación de información propuesta de agregación de tramos en el sistema de TGI"/>
        <s v=" Incidencias presentadas en la semana del 13 al 17 de febrero de 2023 en el aplicativo SUI"/>
        <s v="RV: Novedad regulatoria: Modificación de los parámetros de los agentes dentro de la comercialización mayorista y distribución de GLP."/>
        <s v="RV: correo de la SSPD  // Requerimiento de información para Evaluación Integral de la anualidad 2022."/>
        <s v="Información Resolución CREG 137 de 2013 Vigencia 2022 Vanti"/>
        <s v="Información Resolución CREG 137 de 2013 Vigencia 2022 GNCB"/>
        <s v="RV: Notificacion electronica radicado salida No 20232311718731 // Requerimiento información sobre la construcción de la ERPC en el municipio de Tuta._x000a_Radicados No. SSPD 20235291220952 y SSPD 20235291223742, ambas de fecha 29 de marzo_x000a_de 2023."/>
        <s v="RV: Radicado # S2023002746 // Comunicación Auto de pruebas en la actuación de cargos de transporte del_x000a_sistema de TGI conforme a la Res. CREG 175 de 2021"/>
        <s v=" RV: Notificacion electronica radicado salida No 20238001884641  // Referencia: Requerimiento de información._x000a_Radicado SSPD 20218001319712 del 4 de junio de 2021_x000a_Expediente No. 2021800420107972E"/>
        <s v="RV: Reiteración requerimiento para completar información. Radicado CREG S2023002686 // Reiteración requerimiento para completar información y documentos de la solicitud _x000a_tarifaria para la distribución y comercialización de gas combustible por redes en el mercado _x000a_relevante conformado por el municipio Santa Rosa del Sur en el departamento de Bolívar, _x000a_presentada por la empresa GAS NATURAL DEL ORIENTE S.A. E.S.P. "/>
        <s v="RV: Su comunicación con radicado CREG E2023006005. Solicitud Acceso expediente 2022 – 0063 CREG // Su comunicación con radicado CREG E2023006005. Solicitud Acceso_x000a_expediente 2022 – 0063"/>
        <s v="MINENERGIA: Registro radicado 2-2023-014838 // RPQ VANTI S.A ESP Validación definitiva FSSRI GAS 4-2022 "/>
        <s v="RV: NOTIFICACIÓN CONCURSO ECONÓMICO // Por medio de la cual se asigna un concurso economico para la vigencia 2023"/>
        <s v="Reporte de Prestación del Servicio de Gas Natural en el Municipio de Soacha **TICKET 10283596"/>
        <s v="PAGO DE TRANSFERENCIAS SERVICIOS DE ESTRETIFICACION CUENTA DE COBRO // CORRESPONDENCIA PENDIENTE POR GESTIONAR HASTA LA FECHA 18/05/2023"/>
        <s v="Notificación electrónica radicado entrada No 20235291792862"/>
        <s v="RV: Solicitud de información  **TK 10210239"/>
        <s v="Verificación de información relacionada con el incidente atendido con la cuenta contrato 63436377 de la empresa Gas Natural del Oriente S.A E.S.P. // Certificado | Gas Natural del Oriente | Verificación información | Auditor Externo | Incidente | Barrancabermeja"/>
        <s v="Requerimientos Grupo Vanti - SSPD // Requerimiento de información Resolución CREG 033 de 2015"/>
        <s v="Requerimientos Grupo Vanti - SSPD // Requerimiento de información - Resolución CREG 033 de 2015"/>
        <s v="Requerimientos Grupo Vanti - SSPD//Requerimiento de información - Resolución CREG 033 de 2015"/>
        <s v="Resolución reconocimiento del PP 1-2023 FSSRI GAS "/>
        <s v="Fwd: Acta 15 y concurso económico"/>
        <s v="SOLICITUD PROCEDIMIENTO PARA EL MANEJO DE TITULOS NO LISTADOS EN EL RNVE"/>
        <s v="Solicitud acceso documentos aportados en Actuación Administrativa de aprobación de cargos tarifarios"/>
        <s v="Requerimiento de información AEGR grupo Vanti 2.25"/>
        <s v="TRASLADO comunicación. Radicado CREG S2023002445 // Traslado por competencia E-2023-004464_x000a_Radicado CREG: E-2023-004464"/>
        <s v="Radicado SSPD No. 20235290729412 del 21 de febrero de 2023"/>
        <s v="Citación para notificar la Resolución CREG 502 035 de 2022 S2023002389 // Citación para notificar la Resolución CREG 502 035 de 2022 “Por la cual se_x000a_resuelven los recursos de reposición interpuestos por las empresas TGI S.A. E.S.P. y_x000a_VANTI S.A. E.S.P. contra la Resolución CREG 502 024 de 2022”"/>
        <s v="Solicitud de Informacion // Escalamiento ticket 10085791"/>
        <s v="Requerimiento de Información No. 4 (Aspectos Técnicos) // Requerimiento de información AEGR grupo Vanti 2.25…"/>
        <s v="Respuesta al requerimiento de información radicado 20232311184221"/>
        <s v="Comunicado respuesta a radicado 2-2023-008893 del 17-04-2023 “RPQ VANTI S.A. E.S.P. V"/>
        <s v="Encuesta para la identificación y confirmación de necesidades de información estadística asociada al servicio público Domiciliario de Gas Combustible por Redes.Energía Eléctrica y Gas Combustible por RedesEnergía Eléctrica y Gas Combustible por Redes"/>
        <s v="Requerimientos Radicados SSPD No. 20235290634212 y 20235290740212"/>
        <s v="Por la cual se ordena el giro, para cubrir subsidios por menores tarifas, a las empresas del sector gas combustible domiciliario por red, correspondientes al saldo restante de los trimestres comprendidos entre el segundo trimestre de 2017 y el tercer trimestre de 2022"/>
        <s v="PQRS PENDIENTES AL 13-04-23 // TICKET 9896762 MAL RADICADO ---// Requerimiento de informacion por evento presentado en punto de entrada Caramelo del Sistema Nacional de Transporte - SNT"/>
        <s v="MINENERGIA: Registro radicado 2-2023-009960 // RDP 1-2023-017219 a GNCBY Tarifas Zipaquirá"/>
        <s v="SOLICITUD DE PAGO DE CONTRIBUCION ECONOMICA VIGENCIAS 2022 Y 2023 / CUENTAS DE COBRO ESTRATIFICACIÓN PIEDECUESTA - BARRANCABERMEJA GOR"/>
        <s v="Actualización regulatoria - consulta WACC de Transporte"/>
        <s v="Requerimiento de información Bogota"/>
        <s v="DERECHO DE PETICIÓN _x000a_DAYANA GERALDINE MORA RODRIGUEZ"/>
        <s v="CERTIFICACIÓN DE LA PRESTACIÓN DEL SERVICIO ENERO Y FEBRERO DE 2023_x000a_ SOLICITUD FONDO DE SOLIDARIDAD //Certificación de la prestación del servicio de gas combustible por redes de tubería para los meses de enero y febrero 2023 por parte de GAS NATURAL DEL ORIENTE S.A. E.S.P."/>
        <s v="CERTIFICACIÓN DE LA PRESTACIÓN DEL SERVICIO ENERO Y FEBRERO DE 2023_x000a_ SOLICITUD FONDO DE SOLIDARIDAD //_x000a_Certificación de la prestación del servicio de gas combustible por redes de tubería para los meses de enero y febrero 2023 por parte de GAS NATURAL DEL CESAR S.A. E.S.P."/>
        <s v="CERTIFICACIÓN DE LA PRESTACIÓN DEL SERVICIO ENERO Y FEBRERO DE 2023_x000a_ SOLICITUD FONDO DE SOLIDARIDAD //_x000a_Certificación de la prestación del servicio de gas combustible por redes de tubería para los meses de enero y febrero 2023 por parte de GAS NATURAL CUNDIBOYACENSE S.A. E.S.P."/>
        <s v="CERTIFICACIÓN DE LA PRESTACIÓN DEL SERVICIO ENERO Y FEBRERO DE 2023_x000a_ SOLICITUD FONDO DE SOLIDARIDAD //_x000a_Certificación de la prestación del servicio de gas combustible por redes de tubería para los meses de enero y febrero 2023 por parte de VANTI S.A. E.S.P."/>
        <s v="RPQ GAS NATURAL DEL ORIENTE S.A ESP Validación 4-2022 FSSRI GAS"/>
        <s v="RPQ GAS NATURAL CUNDIBOYACENSE S.A ESP Validación 4- 2022 FSSRI GAS"/>
        <s v="Comentarios al proyecto de resolución - Lineamientos a los prestadores de los servicios públicos domiciliarios en el marco de la protección al usuario."/>
        <s v="Derecho de Petición de Información de Organización Política declarada en oposición. Artículo 16 de la Ley 1909 de 2018."/>
        <s v="Traslado radicado número 1-2023-012532 del Ministerio de Minas y Energía"/>
        <s v="Solicitud Acceso expediente 2022 –0063"/>
        <s v="Solicitud Acceso expediente 2022-0065"/>
        <s v="Solicitud Acceso expediente 2022 – 0068"/>
        <s v="Solicitud de reversión voluntaria del formato SUI GRCS8 (Datos Consolidados – Esquema de Revisiones Periódicas) Periodo 2- 2023."/>
        <s v="Respuesta radicado S-2023-000980 Reporte de información de gastos AOM -   Número de Radicado: E2023006067"/>
        <s v="DENUNCIA Y SOLICITUD // DENUNCIA Y SOLICITUD INMEDIATA, VANTI S.A.  ESP_x000a_NIT 800.007.813-5, Calle 71A # 5-38, Bogotá DC  "/>
        <s v="Requerimiento para completar información y documentos de la solicitud_x000a_taifaria para la distribución y comercialización de gas combustible por redes_x000a_en el mercado relevante conformado por el municipio Santa Rosa del Sur en el_x000a_departamento de Bolívar, presentada por la empresa GAS NATURAL DEL_x000a_ORIENTE S.A. E.S.P._x000a_Radicado CREG: E-2022-014745_x000a_Apligas No. 2889"/>
        <s v="Remision de informacion para realizar el pago  del aporte concurso economico presupuesto anual de gastos de comité permanente de estratificacion para la vigencia 2023"/>
        <s v="solicitud aclaración de inquietudes de información enviada al DANE."/>
        <s v="Requerimiento factor de corrección cuenta suscriptor 63726671 "/>
        <s v="Requerimiento de información tarifaria periodo enero 2023 y copia de las facturas del_x000a_pago de suministro y transporte de gas natural - Radicado No.: 20232311079961"/>
        <s v="Secretaria de Infraestructura y Planeacion Municipio de Sutatausa"/>
        <s v="Traslado derecho de petición respecto de la situación de desastre_x000a_ambiental, vial y social frente al grave riesgo por falta de acceso a los_x000a_servicios públicos de manera real y efectiva y el cobro ilegal en la comuna_x000a_4 y sus barrios entre ellos robles, valcanes y demás barrios que la_x000a_conforman._x000a_Radicado CREG E2023002217 _x000a_Expediente CREG General N/A"/>
        <s v="Radicación recibo 23990020909 VANTI primera cuota (1) Resolución 279 de 2023"/>
        <s v="Requerimiento Radicado N. 20232310852571–  en realcion a Radicado SSPD No. 20235290368862/ del 27 de enero de 2023"/>
        <s v="Saldos y el histórico de los valores en la tarifa del usuario final (CREG-048) Opcion Tarifaria"/>
        <s v="Saldos y el histórico de los valores en la tarifa del usuario final (CREG-048)"/>
        <s v="Radicado No. 20232310850381   Saldos y el histórico de los valores en la tarifa del usuario final (CREG-048)"/>
        <s v="Respuesta Requerimiento de información sobre la Revisión Periódica Obligatoria – RPO_x000a_Radicado No. 20232310847821"/>
        <s v="Respuesta Requerimiento de información sobre la Revisión Periódica Obligatoria – RPO_x000a_Radicado No. 20232310848141"/>
        <s v="Respuesta Requerimiento de información sobre la Revisión Periódica Obligatoria – RPO"/>
        <s v="Respuesta Requerimiento de información sobre la Revisión Periódica Obligatoria – RPO_x000a_Radicado No. 20232310848101"/>
        <s v="Respuesta Requerimiento de información sobre la Revisión Periódica Obligatoria – RPO_x000a_                Radicado No. 20232310848151"/>
        <s v=" Solicitud información Indicadores de Gestión Año 2022 -Resolución CREG 072 de 2002 -  Resolucion No.  20232310716991"/>
        <s v=" Solicitud información Indicadores de Gestión Año 2022 -Resolución CREG 072 de 2002 -  Resolucion No.  20232310717001"/>
        <s v=" Solicitud información Indicadores de Gestión Año 2022 -Resolución CREG 072 de 2002 -  Resolucion No. "/>
        <s v=" Solicitud información Indicadores de Gestión Año 2022 -Resolución CREG 072 de 2002 -  Resolucion No. 20232310716951"/>
        <s v="Vinculación Expediente CREG 2022 - 0063_x000a_Radicado CREG: E2023000552"/>
        <s v=": Comentarios a &quot;ESTUDIO TÉCNICO PARA EL PLAN DE ABASTECIMIENTO DE GAS NATURAL 2020&quot;. Respuesta a radicado UPME 20221700165021."/>
        <s v="Solicitud intervención tercero interesado actuación administrativa promovida por Transmetano S.A. E.S.P."/>
        <s v="Solicitud intervención tercero interesado actuación administrativa promovida por Promigas S.A. E.S.P."/>
        <s v="Aplicación Decreto Nacional 1170 de 2015"/>
        <s v="Traslado por competencias, derecho de peticion, representante a a la camara Jennifer Pedraza."/>
        <s v="Citación para notificar la liquidación oficial N° LO2022R105004_0082, de contribución especial Resolución 105004_22 a favor de la CREG para la vigencia 2022."/>
        <s v="Citación para notificar la liquidación oficial N° LO2022R105004_0006, de contribución especial Resolución 105004_22 a favor de la CREG para la vigencia 2022."/>
        <s v="Citación para notificar la liquidación oficial N° LO2022R105004_0017, de contribución especial Resolución 105004_22 a favor de la CREG para la vigencia 2022."/>
        <s v="Citación para notificar la liquidación oficial N° LO2022R105004_0016, de contribución especial Resolución 105004_22 a favor de la CREG para la vigencia 2022."/>
        <s v="Decreto de pruebas dentro del Trámite de Recurso de Reposición interpuesto por VANTI S.A E.S.P. contra la Resolución CREG 502 014 de 2022. E historial de Recursos"/>
        <s v="Respuesta Radicado No. 20232310504851–Requerimiento de información tarifaria periodo diciembre de 2022 "/>
        <s v="Respuesta al requerimiento con número deradicado S2022006175del 16de diciembre de 2022."/>
        <s v="Solicitud Información valor de consumo, consumo y total facturado serie 2014-2022"/>
        <s v="INCREMENTO TARIFARIO DE LOS SERVICIOS PUBLICOS DOMICILIARIOS DE_x000a_ENERGIA, GAS NATURAL, AGUA Y ALCANTARILLADO."/>
        <s v="Requerimiento de información tarifaria periodo agosto 2022, copia de las facturas_x000a_del pago de suministro y transporte de gas natural"/>
        <s v="Requerimiento de información Indicadores AEGR 28/10/2022"/>
        <s v="Requerimiento de información No. 1 - AEGR 2022 Grupo Vanti 04/11/2022"/>
        <s v="Comentarios al proyecto de resolución CREG 702 008 de 2022"/>
        <s v="Respuesta Radicado No. 20222314222231 – Requerimiento de información cuenta suscriptor 62873273"/>
        <s v="Respuesta Radicado No. 20222314159701 – Requerimiento de información suspensión _x000a_del servicio en La Gloria, Cesar"/>
        <s v="Respuesta Radicado No. 20222304029891 – Requerimiento de información calidad de la información cargada en el año 2021 al Sistema Único de Información – SUI."/>
        <s v="Respuesta Radicado No. 20222314175091– Requerimiento de información tarifaria _x000a_periodo julio de 2022"/>
        <s v="RESPUESTA NUMERO DE RADICADO: S2022004104 - RESPUESTA CORREO _x000a_RADICADO CREG E2022010490 DEL 15 DE SEPTIEMBRE 2022"/>
        <s v="Respuesta a la solicitud de la Actuación Administrativa iniciada I2022007106"/>
        <s v="Respuesta a la solicitud de la Actuación Administrativa iniciada I2022007103"/>
        <s v="Respuesta Radicado No. 20222314120721– Requerimiento de información estación de_x000a_servicio EDS Puerta del So"/>
        <s v="Respuesta Radicado No. 20222304046311– Requerimiento de información medidores "/>
        <s v="Comentarios de Vanti a la versión 2 de los DSI publicados a través de la circular externa 071 de 2022. _x000a_SELECCIÓN DE UN INVERSIONISTA PARA LA PRESTACIÓN DEL SERVICIO DE ALMACENAMIENTO DE GNL, _x000a_REGASIFICACIÓN, TRANSPORTE DE GAS NATURALY SERVICIOS ASOCIADOS DE LA INFRAESTRUCTURA DE _x000a_IMPORTACIÓN DE GAS_x000a_DEL PACÍFICO."/>
        <s v="Comentarios sobre proyecciones de demanda Circular CREG 068 de 2022: “PUBLICACIÓN DE LAS _x000a_DEMANDAS ESPERADAS DE CAPACIDAD Y DE VOLUMEN, ASÍ COMO DE LA CAPACIDAD TOTAL _x000a_CONTRATADA QUE DECLARÓ TGI S.A. E.S.P., DE ACUERDO CON EL PROCEDIMIENTO PREVISTO EN LA RESOLUCIÓN CREG 175 DE 2021”"/>
        <s v="Demanda Promioriente"/>
        <s v="De acuerdo con el desarrollo hidrocarburífero que tiene el país proveniente de diversas fuentes en Ballena, no es congruente que se proyecte una disminución de la demanda en este tramo. Vale la pena observar que para el tramo Ballena-Barranca, TGI sí proyecta un aumento de demanda en este tramo a partir de 2028. En este sentido, el tramo Ballena-La Mami debería converger con los supuestos que el otro transportador está utilizando. Si el gas se encuentra en Ballena, va a fluir hacia la costa como para el interior._x000a__x000a_Proyectar una demanda tan baja hará que la tarifa se incremente y se pierdan los esfuerzos por interconectar los mercados costa e interior del país."/>
        <s v="Comentarios sobre proyecciones de demanda Circular CREG 072 de 2022: “PUBLICACIÓN DE LAS DEMANDAS ESPERADAS DE CAPACIDAD Y DE VOLUMEN, ASÍ COMO DE LA CAPACIDAD TOTAL CONTRATADA QUE DECLARÓ PROMIORIENTE S.A. E.S.P., DE ACUERDO CON EL PROCEDIMIENTO PREVISTO EN LA RESOLUCIÓN CREG 175 DE 2021”_x000a_"/>
        <s v="Respuesta Radicado No. 20222313558151 – Requerimiento de información por evento en Campo Apiay de suministro de gas. "/>
        <s v="Respuesta Radicado No. 20222313579771 – Requerimiento de información Calidad de la información _x000a_cargada en el año 2021 al Sistema Único de Información -SUI"/>
        <s v="Respuesta Radicado No. 20222313510581 – Requerimiento de información por suspensiones en el servicio de gas natural en Bogotá."/>
        <s v="Respuesta Radicado No. 20222313386021 – Requerimiento de información factor de _x000a_corrección cuenta suscriptor 63255054"/>
        <s v="Respuesta Radicado No. 20222313390091– Requerimiento de información tarifaria _x000a_periodo mayo de 2022"/>
        <s v="Comentarios Vanti a la Resolución 702 005 de 2022"/>
        <s v=": Respuesta radicado S-2022-002241 Reporte de información de gastos AOM"/>
        <s v="Reporte de información de gastos AOM"/>
        <s v="Solicitud de aclaración Artículo 17 de la Resolución CREG 102  003 de 2022 "/>
        <s v="AERG"/>
        <s v=" Comentarios al proyecto de resolución tarifa de la contribución especial para el año 2022 "/>
        <s v="Comentarios al proyecto de resolución tarifa de la contribución especial para el año 2022 "/>
        <s v="Comentarios Grupo Vanti Proyecto de resolución &quot;Por la cual se solicita la adopción de medidas en _x000a_relación con la Oferta Pública de Cantidades de GLP para el segundo semestre de 2022&quot;"/>
        <s v=" Respuesta Radicado No. 20222312756431 – Requerimiento de información estación de servicio EDS Puerta del Sol."/>
        <s v="Criterios reporte de información en Apligas para expedientes de comercialización de Vanti S.A. E.S.P. "/>
        <s v="Criterios reporte de información en Apligas para expedientes de comercialización de Gas Natural del Oriente S.A. E.S.P. "/>
        <s v="Criterios reporte de información en Apligas para expedientes de comercialización de Gas Natural del Cesar S.A. E.S.P. _x000a_"/>
        <s v="Criterios reporte de información en Apligas para expedientes de comercialización de Gas Natural Cundiboyacense S.A. E.S.P"/>
        <s v="Respuesta Radicado No. 20222302980901 – Requerimiento de información reportes de información _x000a_al Sistema único de Información SUI"/>
        <s v="Respuesta Radicado No. 20222312934301 – Requerimiento de información tarifaria _x000a_periodo abril de 2022"/>
        <s v="Información Resolución CREG 137 de 2013"/>
        <s v="Comentarios Vanti a la Resolución CREG 226 de 2021."/>
        <s v="Comentarios Resolución CREG 227 de 2021"/>
        <s v="Comentarios Vanti a la Resolución CREG 702-002"/>
        <s v="Solicitud de notificación personal"/>
        <s v="Respuesta Requerimiento 20222311808081- Calidad de información SUI de GAS NATURAL DEL ORIENTE SA ESP.- Tercer Trimestre de 2021."/>
        <s v="Volúmenes presentados expediente tarifario Gas Natural Cundiboyacense"/>
        <s v="Respuesta Radicado No. 20222312081671 – Requerimiento de información tarifaria _x000a_periodo marzo de 2022"/>
        <s v="Fondo de Solidaridad y Redistribución de Ingresos – Conciliación II trimestre de 2022."/>
        <s v="Fondo de Solidaridad y Redistribución de Ingresos – Conciliación I trimestre de 2022."/>
        <s v="Respuesta Radicado No. 20222311760441 – Requerimiento de información tarifaria _x000a_periodo enero y febrero de 2022"/>
        <s v="Respuesta Radicado No. 20222311861031 – Solicitud información Indicadores de Gestión _x000a_Año 2021 -Resolución CREG 072 de 2002."/>
        <s v="Respuesta Radicado No. 20222311861041 – Solicitud información Indicadores de _x000a_Gestión Año 2021 -Resolución CREG 072 de 2002."/>
        <s v="Respuesta al requerimiento 20222311656891- Calidad de información SUI – Tercer trimestre de 2021"/>
        <s v="Respuesta al requerimiento 20222311663491- Calidad de información SUI – Tercer trimestre de 2021"/>
        <s v="Respuesta Radicado No. 20222301777201– Copia contrato de Auditoría Externa de Gestión _x000a_y Resultados"/>
        <s v="Respuesta Radicado No. 20222301777241 – Copia contrato de Auditoría Externa de _x000a_Gestión y Resultados"/>
        <s v="Respuesta Radicado No. 20222301777461 – Copia contrato de Auditoría Externa de _x000a_Gestión y Resultados."/>
        <s v="Periodo de aplicación de la Opción Tarifaria Transitoria – Resolución CREG 184 de 2014."/>
        <s v="Respuesta Radicado No. 20222311529751 – Requerimiento de información tarifaria _x000a_periodo febrero de 2022"/>
        <s v="Derecho de petición de solicitud de información sobre proyectos de _x000a_exploración de gas natural en el Cesar."/>
        <s v="Respuesta Radicado No. 20222311268321 – Componentes tarifarios periodo 02 de 2022"/>
        <s v="Aclaraciones Radicado I-2022-005084, Expediente No. 2020-0227, Solicitud Apligas No. 2120. Adición del Período Probatorio decretado dentro de la Actuación Administrativa iniciado con base en solicitud de la empresa GAS NATURAL DEL ORIENTE S.A. E.S.P. para la aprobación de cargos de distribución de gas combustible por redes para el mercado relevante conformado por Yondó en el departamento de Antioquia, Cantagallo y San Pablo en el departamento de Bolívar, Aguachica, Agustín Codazzi, Becerril, Chiriguaná, Curumaní, Gamarra, La Gloria, La Jagua de Ibirico, Pailitas, Pelaya, San Alberto, San Diego, San Martín y Tamalameque en el departamento de Cesar, El Banco en el departamento de Magdalena, La Esperanza en el departamento de Norte de Santander, Barrancabermeja, Bucaramanga, Girón, Lebrija, Piedecuesta, Puerto Wilches y Sabana de Torres en el departamento de Santander._x000a_"/>
        <s v="Adición del Período Probatorio decretado dentro de la Actuación Administrativa iniciada con base en solicitud de la empresa GAS NATURAL DEL CESAR S.A. E.S.P. para la aprobación de cargos de distribución de gas combustible por redes para el mercado relevante conformado por Yondó en el departamento de Antioquia, Cantagallo y San Pablo en el departamento de Bolívar, Aguachica, Agustín Codazzi, Becerril, Chiriguaná, Curumaní, Gamarra, La Gloria, La Jagua de Ibirico, Pailitas, Pelaya, San Alberto, San Diego, San Martín y Tamalameque en el departamento de Cesar, El Banco en el departamento de Magdalena, La Esperanza en el departamento de Norte de Santander, Barrancabermeja, Bucaramanga, Girón, Lebrija, Piedecuesta, Puerto Wilches y Sabana de Torres en el departamento de Santander."/>
        <s v="Solicitud de reconocimiento como tercero interesado, con el fin de intervenir _x000a_en la actuación administrativa encaminada a la actualización de los cargos, para que _x000a_incluyan a su vez las actualizaciones de inversión, AOM, PNI, IAC y demandas, cuya _x000a_decisión será la actualización de cargos para remuneración de la actividad de _x000a_transporte de gas natural para la Transportadora de Gas Internacional TGI S.A. _x000a_E.S.P., en aplicación de la metodología indicada en la Resolución CREG 175 de 2021_x000a_(modificada por la Resolución CREG 102 001 de 2022)."/>
        <s v="Reporte 6024 Componentes Tarifarios gas combustible periodo 02 de 2022"/>
        <s v="Comentarios Proyecto de resolución - Lineamientos para el cargue de información al SUI _x000a_aplicable a los prestadores del servicio público de gas combustible por redeS"/>
        <s v="Respuesta a radicado SSPD No. 20222310618981 – Requerimiento adicional sobre _x000a_caso Grantierra"/>
        <s v="Alcance a la respuesta al radicado SSPD No. 20222310618981 – Requerimiento _x000a_adicional sobre caso Grantierra"/>
        <s v="Comentarios al documento CONPES en elaboración – Política Transición Energética"/>
        <s v="Solicitud reunión para presentar análisis Vanti propuesta metodología comercialización"/>
        <s v="Plan de Expansión Gasnacer S.A. ESP – años 2022 a 2026"/>
        <s v="Respuesta Radicado SSPD 20222310406261 - Requerimiento por solicitud de información - Evento de suspensión del servicio en el sur de Bolívar del 01 de febrero de 2022_x000a_"/>
        <s v="Respuesta de Vanti al radicado TGI S20220100000952 - Remisión Anexo 10 Resolución CREG 175 de 2021 _x000a_– ERPC Reportadas por Distribuidor"/>
        <s v="respuesta de Gas Natural Cundiboyacense al radicado TGI S20220100000952 - Remisión Anexo 10_x000a_Resolución CREG 175 de 2021 – ERPC Reportadas por Distribuidor"/>
        <s v="Respuesta de Gas Natural del Oriente al radicado TGI S20220100000952 - Remisión Anexo 10 _x000a_Resolución CREG 175 de 2021 – ERPC Reportadas por Distribuidor"/>
        <s v="Respuesta de Gas Natural del Cesar al radicado TGI S20220100000952 - Remisión Anexo 10 Resolución CREG 175 de 2021 – ERPC Reportadas por Distribuido"/>
        <s v="Presentación de comentarios AIN en grandes industrias - análisis de impacto normativo."/>
        <s v="Comentarios proyecto resolución – Adopción PAI 2022-2030 para desarrollo del PROURE."/>
        <s v="Petición respetuosa para el acceso al expediente virtual de la solicitud del cargo de _x000a_distribución por uso del sistema de distribución, para el mercado relevante conformado por_x000a_municipios pertenecientes a los departamentos de Cundinamarca, Boyacá y Santander1_x000a_, según _x000a_solicitud tarifaria presentada por la empresa GAS NATURAL CUNDIBOYACENSE S.A. E.S.P. (Expediente _x000a_Apligas No. 2119 2020-08-10)"/>
        <s v="Petición respetuosa para el acceso al expediente virtual de la solicitud del cargo de distribución _x000a_por uso del sistema de distribución, para el mercado relevante conformado por municipios _x000a_pertenecientes a los departamentos de Santander, Magdalena, Antioquia, Norte de Santander, Cesar _x000a_y Bolívar1_x000a_, según solicitud tarifaria presentada por la empresa GAS NATURAL DEL CESAR S.A. E.S.P. _x000a_(Expediente Apligas No. 2121 2020-08-10)"/>
        <s v="Petición respetuosa para el acceso al expediente virtual del Recurso de Reposición en contra de la Resolución CREG 099 de 2021 “Por la cual se resuelven las solicitudes hechas por la Transportadora de Gas Internacional TGI S.A. E.S.P. para la aplicación del artículo 14 de la Resolución CREG 126 de 2010 en los gasoductos y estaciones de compresión que cumplieron su vida útil normativa”, resuelto mediante la Resolución CREG 231 de 2021 publicada la web de la CREG en enero 24 de 2022."/>
        <s v="Solicitud reconocimiento como tercero interesado para intervenir en actuación administrativa_x000a_Recurso interpuesto contra la Resolución CREG 099 de 2021 “Por la cual se resuelven las solicitudes hechas _x000a_por la Transportadora de Gas Internacional TGI S.A. E.S.P. para la aplicación del artículo 14 de la Resolución _x000a_CREG 126 de 2010 en los gasoductos y estaciones de compresión que cumplieron su vida útil normativa”."/>
        <s v="Respuesta Radicado No. 20222310306421 – Requerimiento de información tarifaria _x000a_periodo diciembre de 2021"/>
        <s v="Alcance a la respuesta del Radicado No. 20222310306421 – Requerimiento de _x000a_información tarifaria periodo diciembre de 2021"/>
        <s v="Fondo de Solidaridad y Redistribución de Ingresos – Conciliación IV trimestre _x000a_de 2021."/>
        <s v="Reporte de información de activos - Anexo 18 de la Resolución _x000a_CREG 202 de 2013"/>
        <s v="Alcance Respuesta Radicado No. 20222310155391 – Solicitud de _x000a_información de accidentes en instalaciones internas"/>
        <s v="Respuesta Radicado No. 20222310155391 – Solicitud de información de accidentes _x000a_en instalaciones internas"/>
        <s v="Respuesta Radicado No. 20222310155391 – Solicitud de información de accidentes en instalaciones internas"/>
        <s v="Solicitud de reunión coordinación Gas Natural del Cesar – TGI (ERPC que cumplen su _x000a_VUN)"/>
        <s v=" Comentarios Plan de Acción 2022 Grupo Vanti "/>
        <s v="Comentarios a la Resolución CREG 223 de 2020"/>
        <s v="Alcance a la respuesta del comunicado No. 20212035332831 del 12 de noviembre de 2021"/>
        <s v="Alcance a la respuesta del comunicado No. 20212035327651 del 12 de noviembre de 2021"/>
        <s v="Alcance a la respuesta del comunicado No. 20212035332811 del 12 de noviembre de 2021"/>
        <s v="Solicitud respuesta a comunicación Radicado CREG E-2021-00480"/>
        <s v="Comentarios a la Resolución CREG 235 de 2020"/>
        <s v="Respuesta Radicado No. 20212316391501 – Requerimiento de información tarifaria _x000a_periodo noviembre de 2021"/>
        <s v="Respuesta al radicado No. 20212316317961, recibido el 29 de diciembre de 2021. Declaración de _x000a_fuerza mayor en Puerto Wilches el 30 de noviembre de 2021."/>
        <s v="Comentarios demanda Transmilenio "/>
        <s v="Propuestas para el Plan Nacional de Desarrollo 2022-2026"/>
      </sharedItems>
    </cacheField>
    <cacheField name="Fecha MAX de Resp" numFmtId="14">
      <sharedItems containsNonDate="0" containsDate="1" containsString="0" containsBlank="1" minDate="1906-08-24T00:00:00" maxDate="2023-11-16T00:00:00"/>
    </cacheField>
    <cacheField name="Fecha de Resp" numFmtId="14">
      <sharedItems containsNonDate="0" containsDate="1" containsString="0" containsBlank="1" minDate="1906-08-24T00:00:00" maxDate="2023-08-16T00:00:00"/>
    </cacheField>
    <cacheField name="Resumen " numFmtId="0">
      <sharedItems containsBlank="1" longText="1"/>
    </cacheField>
    <cacheField name="Hipervinculo " numFmtId="0">
      <sharedItems containsBlank="1"/>
    </cacheField>
    <cacheField name="Hipervinculo Respuesta " numFmtId="0">
      <sharedItems containsBlank="1" longText="1"/>
    </cacheField>
    <cacheField name="Adjuntos / COD" numFmtId="0">
      <sharedItems containsBlank="1"/>
    </cacheField>
    <cacheField name="FILIAL" numFmtId="0">
      <sharedItems count="5">
        <s v="GN-VANTI"/>
        <s v="GNCB"/>
        <s v="GOR"/>
        <s v="GNCR"/>
        <s v="GN_VANTI" u="1"/>
      </sharedItems>
    </cacheField>
    <cacheField name="Tipologia " numFmtId="0">
      <sharedItems containsBlank="1" count="16">
        <s v="Derecho de Peticion Usuario"/>
        <s v="REQUERIMIENTO"/>
        <s v="SOLICITUD"/>
        <s v="REPORTE"/>
        <s v="COMENTARIOS A RES"/>
        <s v="Asignacion Subsidios"/>
        <s v="CONCURSO ECONOMICO"/>
        <s v="RESPUESTA"/>
        <s v="RPQ Subsidios &amp; Contribuciones"/>
        <s v="Encuestas"/>
        <s v="Certificado"/>
        <s v="Vinculacion a Expedientes"/>
        <s v="Revision Reversiones"/>
        <s v="GREMIOS"/>
        <m/>
        <s v="COMENTARIOS A RESOLUCIONES"/>
      </sharedItems>
    </cacheField>
    <cacheField name="ESTADO" numFmtId="0">
      <sharedItems/>
    </cacheField>
    <cacheField name="Fecha de Radicado" numFmtId="0">
      <sharedItems containsDate="1" containsBlank="1" containsMixedTypes="1" minDate="2023-04-05T00:00:00" maxDate="2023-06-16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2">
  <r>
    <x v="0"/>
    <x v="0"/>
    <s v="RV: correo de la SSPD  // Requerimiento de información para Evaluación Integral de la anualidad 2022."/>
    <d v="2023-05-30T00:00:00"/>
    <m/>
    <s v="Se realiza un requerimiento de multiples puntos, con fecha limite a reportar del 30 de Mayo, esto con intencion de realizar una visita la segunda semana de Juniopara &quot;la evaluación integral de prestación del servicio para el año 2022&quot;. Se esta gestionando sobre el tiempo debido a que el area que recepciono nos notifico &quot;Tarde&quot; la información."/>
    <s v="97_06_2023_SSPD Vanti_20232311630251"/>
    <m/>
    <s v="97_06_2023_Anexo SSOD_Certificado OK 724 Rad_ 43601_20232311630251"/>
    <x v="0"/>
    <x v="0"/>
    <x v="0"/>
  </r>
  <r>
    <x v="1"/>
    <x v="1"/>
    <s v="Información Resolución CREG 137 de 2013 Vigencia 2022 Vanti"/>
    <d v="2023-06-05T00:00:00"/>
    <d v="2023-06-05T00:00:00"/>
    <s v="De conformidad con lo establecido en el literal C del artículo 5.1.1 de la Resolución CREG 137 de 2013, remitimos la información de consumos históricos diarios de los usuarios regulados del mercado relevante conformado por los municipios de Bogotá, Soacha y Sibaté, atendido por la empresa Vanti S.A. ESP para la vigencia 2022"/>
    <s v="93_06_2023_Vanti_Creg_Informacion Resolucion CREG 137 de 2013"/>
    <m/>
    <s v="93_06_2023_Anexo certificado_Informacion_Resolucion_CREG_137_de_2013_1686064733666"/>
    <x v="0"/>
    <x v="0"/>
    <x v="1"/>
  </r>
  <r>
    <x v="1"/>
    <x v="1"/>
    <s v="Información Resolución CREG 137 de 2013 Vigencia 2022 GNCB"/>
    <d v="2023-06-05T00:00:00"/>
    <d v="2023-06-05T00:00:00"/>
    <s v="De conformidad con lo establecido en el literal C del artículo 5.1.1 de la Resolución CREG 137 de 2013, remitimos la información de consumos históricos diarios de los usuarios regulados del mercado relevante conformado por los municipios de Boyacá, Cundinamarca y Santander, atendido por la empresa Gas Natural Cundiboyacense S.A. ESP para la vigencia 2022."/>
    <s v="94_06_2023_GNCB_CREG_Informacion Resolucion CREG 137 de 2013 "/>
    <m/>
    <s v="94_06_2023_Anexo certificado_RV__Informacion_Resolucion_CREG_137_de_2013_1686064742271"/>
    <x v="1"/>
    <x v="0"/>
    <x v="1"/>
  </r>
  <r>
    <x v="1"/>
    <x v="0"/>
    <s v="RV: Notificacion electronica radicado salida No 20232311718731 // Requerimiento información sobre la construcción de la ERPC en el municipio de Tuta._x000a_Radicados No. SSPD 20235291220952 y SSPD 20235291223742, ambas de fecha 29 de marzo_x000a_de 2023."/>
    <d v="2023-06-05T00:00:00"/>
    <d v="2023-06-05T00:00:00"/>
    <s v="La SSPD recibió comunicaciones de TGI aceptando la prórroga del Contrato CO&amp;M-08-20 y remitiendo a GASCUNDI el borrador del Otrosí No. 1 para su revisión. La DTGGC requiere a GASCUNDI para que aporte información sobre la construcción de la ERPC en Tuta-Boyacá y si su postergación afecta la prestación del servicio en ese municipio. //Remito Requerimiento información sobre la construcción de la ERPC en el municipio de Tuta. Radicados No. SSPD 20235291220952 y SSPD 20235291223742, ambas de fecha 29 de marzo de 2023"/>
    <s v="96_06_2023_SSPD_Requerimiento_20232311718731"/>
    <m/>
    <m/>
    <x v="1"/>
    <x v="0"/>
    <x v="1"/>
  </r>
  <r>
    <x v="1"/>
    <x v="1"/>
    <s v="RV: Radicado # S2023002746 // Comunicación Auto de pruebas en la actuación de cargos de transporte del_x000a_sistema de TGI conforme a la Res. CREG 175 de 2021"/>
    <d v="2023-06-05T00:00:00"/>
    <m/>
    <s v="se ordena realizar una auditoría a la información declarada por TGI S.A. E.S.P. en_x000a_relación con la Capacidad Máxima de Mediano Plazo (CMMP) y el gas de_x000a_empaquetamiento de los gasoductos operados por el transportador."/>
    <s v="95_06_2023_CREG_Comunicado_S2023002746"/>
    <m/>
    <m/>
    <x v="0"/>
    <x v="0"/>
    <x v="2"/>
  </r>
  <r>
    <x v="1"/>
    <x v="0"/>
    <s v=" RV: Notificacion electronica radicado salida No 20238001884641  // Referencia: Requerimiento de información._x000a_Radicado SSPD 20218001319712 del 4 de junio de 2021_x000a_Expediente No. 2021800420107972E"/>
    <d v="2023-06-07T00:00:00"/>
    <m/>
    <s v="Usuario presentó una solicitud de silencio administrativo positivo respecto a las peticiones radicadas en sede empresarial de la señora PATRICIA AGUIRRE GAITAN. Para establecer el mérito de la actuación administrativa, se solicita información y pruebas relacionadas con la petición y su respuesta."/>
    <s v="https://grupovanti.sharepoint.com/:b:/r/sites/GerenciadeRegulacin/Shared%20Documents/General/2023/Regulaci%C3%B3n/91_06_2023_SSPD_Vanti_20238001884641%20(002)/91_06_2023_SSPD_Vanti_20238001884641%20(002).pdf?csf=1&amp;web=1&amp;e=4Kquch"/>
    <m/>
    <m/>
    <x v="0"/>
    <x v="0"/>
    <x v="2"/>
  </r>
  <r>
    <x v="2"/>
    <x v="1"/>
    <s v="RV: Reiteración requerimiento para completar información. Radicado CREG S2023002686 // Reiteración requerimiento para completar información y documentos de la solicitud _x000a_tarifaria para la distribución y comercialización de gas combustible por redes en el mercado _x000a_relevante conformado por el municipio Santa Rosa del Sur en el departamento de Bolívar, _x000a_presentada por la empresa GAS NATURAL DEL ORIENTE S.A. E.S.P. "/>
    <d v="2023-06-07T00:00:00"/>
    <d v="2023-06-05T00:00:00"/>
    <s v="La Comisión de Regulación de Energía y Gas (CREG) solicitó a GAS NATURAL DEL ORIENTE S.A. E.S.P. que presentara ciertos documentos e información relacionados con su solicitud tarifaria. Se otorgó un plazo de cinco días hábiles para responder, pero la Comisión no ha recibido respuesta. Si el requerimiento no se cumple o se cumple de manera incompleta, se podrá decretar su desistimiento y el archivo de la solicitud."/>
    <s v="90_06_2023_Creg_Vanti_RtaRequerimiento_ S2023002686"/>
    <s v="90_06_2023_Vanti_Creg_Reiteración RTA Radicado CREG S2023002686"/>
    <s v="90_06_2023_Anexo CertificadoRV__Segunda_respuesta_Radicado_CREG_S2023002686___Reiteracion_requerimiento_para_completar_informaci_168606465214"/>
    <x v="2"/>
    <x v="0"/>
    <x v="1"/>
  </r>
  <r>
    <x v="3"/>
    <x v="1"/>
    <s v="RV: Su comunicación con radicado CREG E2023006005. Solicitud Acceso expediente 2022 – 0063 CREG // Su comunicación con radicado CREG E2023006005. Solicitud Acceso_x000a_expediente 2022 – 0063"/>
    <d v="2023-06-13T00:00:00"/>
    <m/>
    <s v="La creg responde a comunicación con radicado CREG E2023006005. Solicitud Acceso_x000a_expediente 2022 – 0063 donde se solicita a Transmetano compartir informacion o dar una explicacion de las motivaciones para la confidencialidad de la información, siendo la CREG mediador, habilita una carpeta compartida llamada &quot;2022-0063. Información Pública&quot; que sera compartida con reportesregulacion@grupovanti.com y gsuarez@grupovanti.com"/>
    <s v="87_05_2023_RTA CREG_10335212 - 0 SP"/>
    <m/>
    <s v="87_05_2023_Anexo CREG_10335212  - 0 RE"/>
    <x v="0"/>
    <x v="1"/>
    <x v="2"/>
  </r>
  <r>
    <x v="4"/>
    <x v="2"/>
    <s v="MINENERGIA: Registro radicado 2-2023-014838 // RPQ VANTI S.A ESP Validación definitiva FSSRI GAS 4-2022 "/>
    <m/>
    <m/>
    <s v="Vanti solicita extemporaneidad en SISEG con el fin de validar y realizar los ajustes pertinentes a la conciliación correspondiente al 4-2022, a lo que el MME replica &quot;Reiteramos que los subsidios solicitados por las empresas no podrán ser girados a los prestadores del servicio que no hayan cargado y certificado la información requerida por el Sistema Único de Información, SUI.&quot;"/>
    <s v="85_05_2023_Comunicado a Vanti_20233102014838 (002)"/>
    <s v="022-0065"/>
    <s v="85_05_2023_Anexo_RV MINENERGIA Registro radicado 2-2023-014838"/>
    <x v="0"/>
    <x v="2"/>
    <x v="2"/>
  </r>
  <r>
    <x v="5"/>
    <x v="3"/>
    <s v="RV: NOTIFICACIÓN CONCURSO ECONÓMICO // Por medio de la cual se asigna un concurso economico para la vigencia 2023"/>
    <d v="2023-11-15T00:00:00"/>
    <m/>
    <s v="Se notifica y asigna el monto a pagar por concepto de concurso economico desde la alcaldia de Soacha, anexando cuenta de cobro y certificado de cuenta bancaria para las correspondientes cuotas."/>
    <s v="VANTI RESOLUCION  0722 DEL 18 DE MAYO 2023"/>
    <m/>
    <s v="RV NOTIFICACIÓN CONCURSO ECONÓMICO"/>
    <x v="0"/>
    <x v="3"/>
    <x v="2"/>
  </r>
  <r>
    <x v="6"/>
    <x v="3"/>
    <s v="Reporte de Prestación del Servicio de Gas Natural en el Municipio de Soacha **TICKET 10283596"/>
    <d v="2023-06-05T00:00:00"/>
    <d v="2023-06-05T00:00:00"/>
    <s v="Requiere informacion detallada para atender la solicitud hecha en relacion a informacion de los punto 1 al 4 del documento para la ciudad de Soacha."/>
    <s v="81_05_2023_VANTI_10283596   - 0  SP"/>
    <s v="81_05_2023_Correo de Escalamiento_RE URG_VIP 1 DÍA RV Reporte de Prestación del Servicio de Gas Natural en el Municipio de Soacha  TICKET 10283596"/>
    <m/>
    <x v="0"/>
    <x v="0"/>
    <x v="1"/>
  </r>
  <r>
    <x v="7"/>
    <x v="4"/>
    <s v="PAGO DE TRANSFERENCIAS SERVICIOS DE ESTRETIFICACION CUENTA DE COBRO // CORRESPONDENCIA PENDIENTE POR GESTIONAR HASTA LA FECHA 18/05/2023"/>
    <d v="2023-06-01T00:00:00"/>
    <m/>
    <s v="Se adjunta cuenta de cobro correspondiente a la contribucion de vigencia 2023 para el municipio de Bucaramanga"/>
    <s v="78_05_2023_Alcaldia Bucaramanga_01823CR0003586"/>
    <m/>
    <m/>
    <x v="2"/>
    <x v="0"/>
    <x v="2"/>
  </r>
  <r>
    <x v="8"/>
    <x v="0"/>
    <s v="Notificación electrónica radicado entrada No 20235291792862"/>
    <d v="2023-05-31T00:00:00"/>
    <d v="2023-05-29T00:00:00"/>
    <s v=" Se ha cumplido con lo ordenado en una resolución y no proceden recursos de la vía gubernativa. Se adjunta copia de un acto administrativo./// SSPD da replica resolviendo que el sr JAVIER JOSE PLATA NUÑEZ mediante decisión No. 5305438 – 63295956_x000a_de fecha 15 de diciembre de 2021 tiene en su reclamacion valides."/>
    <s v="77_05_2023_Resuelve Recurso DP SSPD_20238400204385.pdf-2"/>
    <s v="77_05_2023_Correo de Escalamiento_RV Notificación electrónica radicado entrada No 20235291792862"/>
    <s v="77_05_2023_Anexo Caso RTA GOR DP_10134859 - 63295956"/>
    <x v="2"/>
    <x v="4"/>
    <x v="1"/>
  </r>
  <r>
    <x v="9"/>
    <x v="4"/>
    <s v="RV: Solicitud de información  **TK 10210239"/>
    <d v="2023-05-20T00:00:00"/>
    <m/>
    <s v="Por medio del presente comparto derecho de petición recibida por la JAL de Bucaramanga, donde nos solicitan:_x000a__x000a__x000a_1. ¿A partir de cuándo es el desmonte del subsidio del gas natural de Bucaramanga?_x000a_2. ¿Cuál es el precio del alza al servicio dl gas natural?_x000a_3. ¿Cómo se calcula el promedio del consumo?"/>
    <s v="75_05_2023_Alcaldia de Bucaramanga_Proposición Vanti"/>
    <m/>
    <m/>
    <x v="0"/>
    <x v="0"/>
    <x v="2"/>
  </r>
  <r>
    <x v="10"/>
    <x v="5"/>
    <s v="Verificación de información relacionada con el incidente atendido con la cuenta contrato 63436377 de la empresa Gas Natural del Oriente S.A E.S.P. // Certificado | Gas Natural del Oriente | Verificación información | Auditor Externo | Incidente | Barrancabermeja"/>
    <d v="2023-05-12T00:00:00"/>
    <d v="2023-05-12T00:00:00"/>
    <s v="certificar que la información del reporte relacionado con el incidente del usuario MARÍA DE LAS NIEVES GÓMEZ MAYORIANO,con número de contrato 63436377 presentado el 9 de mayo de 2023 en el inmueble ubicado en calle 60B No 36E 23 en la ciudad de Barrancabermeja, Santander, ha sido debidamente verificado y no se encontraron desviaciones en la información allí contenida."/>
    <s v="76_05_2023_Certificación de incidentes Gas Natural del Oriente"/>
    <m/>
    <m/>
    <x v="2"/>
    <x v="4"/>
    <x v="1"/>
  </r>
  <r>
    <x v="9"/>
    <x v="0"/>
    <s v="Requerimientos Grupo Vanti - SSPD // Requerimiento de información Resolución CREG 033 de 2015"/>
    <d v="2023-05-29T00:00:00"/>
    <d v="2023-05-29T00:00:00"/>
    <s v="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Se hace una solicitud de ampliacion en los plazos de entrega (adjunto) // se radica con asunto &quot;Notificación electrónica radicado entrada No 20235291789202&quot;"/>
    <s v="70_05_2023_SSPD GNCB_20232311641121"/>
    <s v="83_05_2023_GNCB RTA_E_Requerimiento No  20232311641121 - GNCB"/>
    <s v="70_05_2023_GNCB_Solicitud Ampliación Plazo Requerimiento de información – Resolución CREG 033 de 2015 20232311641121"/>
    <x v="1"/>
    <x v="0"/>
    <x v="1"/>
  </r>
  <r>
    <x v="9"/>
    <x v="0"/>
    <s v="Requerimientos Grupo Vanti - SSPD // Requerimiento de información - Resolución CREG 033 de 2015"/>
    <d v="2023-05-29T00:00:00"/>
    <d v="2023-05-29T00:00:00"/>
    <s v="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 //Se hace una solicitud de ampliacion en los plazos de entrega (adjunto) // se radica con asunto &quot;Notificación electrónica radicado entrada No 20235291789292&quot;"/>
    <s v="69_05_2023_SSPD GOR__20232311640301"/>
    <s v="84_05_2023_GOR RTA_Respuesta Radicado No. 20232311640301- GASORIENTE"/>
    <s v="69_05_2023_GOR_Solicitud Ampliación Plazo Requerimiento de información – Resolución CREG 033 de 2015 20232311640301"/>
    <x v="2"/>
    <x v="0"/>
    <x v="1"/>
  </r>
  <r>
    <x v="9"/>
    <x v="0"/>
    <s v="Requerimientos Grupo Vanti - SSPD//Requerimiento de información - Resolución CREG 033 de 2015"/>
    <d v="2023-05-25T00:00:00"/>
    <d v="2023-05-25T00:00:00"/>
    <s v="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 // Se hace una solicitud de ampliacion en los plazos de entrega (adjunto)"/>
    <s v="68_05_2023_SSPD VANTI_20232311639401"/>
    <s v="82_05_2023_Requerimiento de información - Resolución CREG 033 de 2015 VANTI (003)"/>
    <s v="68_05_2023_VANTI_Solicitud Ampliación Plazo Req 20232311639401"/>
    <x v="0"/>
    <x v="0"/>
    <x v="1"/>
  </r>
  <r>
    <x v="11"/>
    <x v="2"/>
    <s v="Resolución reconocimiento del PP 1-2023 FSSRI GAS "/>
    <d v="2023-05-15T00:00:00"/>
    <d v="2023-05-15T00:00:00"/>
    <s v="N/A Respuesta._x000a_Por la cual se ordena el giro, para cubrir subsidios por_x000a_menores tarifas, a las empresas del sector gas combustible domiciliario por red,_x000a_correspondientes a pago parcial del primer trimestre de 2023"/>
    <s v="67_05_2023_MME_100_Resol. 00420 del 12 de mayo de 2023 PP 1-2023"/>
    <m/>
    <s v="67_05_2023_Anexo Hilo Correo_RV Resolución reconocimiento del PP 1-2023 FSSRI GAS"/>
    <x v="0"/>
    <x v="2"/>
    <x v="1"/>
  </r>
  <r>
    <x v="11"/>
    <x v="6"/>
    <s v="Fwd: Acta 15 y concurso económico"/>
    <d v="2023-05-15T00:00:00"/>
    <d v="2023-05-30T00:00:00"/>
    <s v="acta 15, solicitud información para liquidación concurso económico."/>
    <s v="05_2023_Duitama_CONCURSO ECONOMICO"/>
    <m/>
    <s v="05_2023_Anexo Concurso Economico_ACTA 15"/>
    <x v="0"/>
    <x v="0"/>
    <x v="3"/>
  </r>
  <r>
    <x v="11"/>
    <x v="7"/>
    <s v="SOLICITUD PROCEDIMIENTO PARA EL MANEJO DE TITULOS NO LISTADOS EN EL RNVE"/>
    <d v="2023-05-30T00:00:00"/>
    <d v="2023-05-31T00:00:00"/>
    <s v="Valores Bancolombia S.A. Comisionista de Bolsa celebra un contrato de administración de valores con sus clientes para ordenar operaciones en el Registro Nacional de Valores y Emisores (RNVE). La realización de operaciones sobre títulos cuya inscripción en el RNVE haya sido cancelada no es una práctica autorizada legalmente. Se requiere la entrega de GAS NATURAL S.A. E.S.P. TITULOS DE RV NO LISTADOS al cliente o al emisor y solicita puntos (Consultar Hipervinculo)_x000a_"/>
    <s v="65_05_2023_BANCOLOMBIA_GAS NATURAL S.A.  E.S.P"/>
    <s v="https://grupovanti.sharepoint.com/:u:/r/sites/GerenciadeRegulacin/Shared%20Documents/General/2023/Regulaci%C3%B3n/66_05_2023_BANCOLOMBIA_GAS%20NATURAL%20S.A.%20%20E.S.P/66_05_2023_RE%20SOLICITUD%20PROCEDIMIENTO%20PARA%20EL%20MANEJO%20DE%20TITULOS%20NO%20LISTADOS%20EN%20EL%20RNVE.msg?csf=1&amp;web=1&amp;e=fIf9rT"/>
    <s v="66_05_2023_REENVIO_RV SOLICITUD PROCEDIMIENTO PARA EL MANEJO DE TITULOS NO LISTADOS EN EL RNVE"/>
    <x v="0"/>
    <x v="0"/>
    <x v="3"/>
  </r>
  <r>
    <x v="12"/>
    <x v="8"/>
    <s v="Solicitud acceso documentos aportados en Actuación Administrativa de aprobación de cargos tarifarios"/>
    <d v="2023-05-15T00:00:00"/>
    <d v="2023-05-15T00:00:00"/>
    <s v="Vanti S.A. E.S.P., solicita autorización para acceder y revisar información reservada en el expediente tarifario de la Comisión de la CREG. La intención es analizar las tarifas solicitadas por TGI, el valor de las inversiones propuestas, el gasto total de AOM solicitado, las propuestas para la agregación de tramos y peticiones con requerimientos especiales._x000a_Asunto RTA: Respuesta a solicitud de acceso a documentos aportados en Actuación Administrativa de_x000a_aprobación de cargos tarifarios. Expediente CREG 2022-0059"/>
    <s v="65_05_2023_VANTI_S20230100002220_Anexo_1"/>
    <s v="65_05_2023_RTA TGI _ S20230100002220"/>
    <m/>
    <x v="0"/>
    <x v="0"/>
    <x v="1"/>
  </r>
  <r>
    <x v="13"/>
    <x v="5"/>
    <s v="Requerimiento de información AEGR grupo Vanti 2.25"/>
    <d v="2023-05-09T00:00:00"/>
    <d v="2023-05-10T00:00:00"/>
    <s v="KPMG en su funcion de auditor externo, realiza el requerimiento sobre las mesas de ayuda relacionadas en excel._x000a_Se da respuesta y vincula hilo de correos y pantallazos que soportan con informacion desde 9 de Julio de 2022"/>
    <s v="64_05_2023_KPMG_Mesas de Ayuda Requerimiento"/>
    <s v="64_05_2023_RTA_RV Requerimiento de información AEGR grupo Vanti 2.25"/>
    <m/>
    <x v="0"/>
    <x v="0"/>
    <x v="3"/>
  </r>
  <r>
    <x v="14"/>
    <x v="1"/>
    <s v="TRASLADO comunicación. Radicado CREG S2023002445 // Traslado por competencia E-2023-004464_x000a_Radicado CREG: E-2023-004464"/>
    <d v="2023-05-23T00:00:00"/>
    <d v="2023-05-18T00:00:00"/>
    <s v="Creg realiza traslado por competencias, del DP _x000a_1fist/ Bogotá, D.C., 30 de Noviembre de 2022_x000a_Asunto : Documento de hallazgo - Gas consumido dejado de facturar 8725230 – 60143583_x000a_Ticket : 8725230_x000a_Cuenta contrato : 60143583_x000a_Se comunica (Hallazgos 8725230 – 60143583 del 30 de Noviembre de 2022)_x000a_2nd/ Bogotá, D.C., 17 de febrero de 2023_x000a_Asunto : Documento de Facturación Hallazgo No. 9430598 – 60143583_x000a_Ticket : 9430598 de fecha 13 de febrero del 2023_x000a_Cuenta Contrato : 60143583_x000a_Se presenta el debido proceso como el cambio de la unidad y cobro de unidades no registradas, da espacio a replica._x000a_3rd/Bojacá, marzo 9 d e2023._x000a_Da respuesta, brinda descargos y controvertir las aseveraciones realizadas en el oficio de la referencia Documento de Hallazgos 8725230 – 60143583"/>
    <s v="63_05_2023_CREG_S2023002445"/>
    <s v="63_05_2023_RE TRASLADO comunicación. Radicado CREG S2023002445"/>
    <s v="63_05_2023_Anexos_Traslado Comunicación Radicado CREG S2023002445"/>
    <x v="1"/>
    <x v="5"/>
    <x v="1"/>
  </r>
  <r>
    <x v="15"/>
    <x v="0"/>
    <s v="Radicado SSPD No. 20235290729412 del 21 de febrero de 2023"/>
    <d v="2023-05-08T00:00:00"/>
    <d v="2023-05-08T00:00:00"/>
    <s v="Respuesta a una comunicación de  Giovanni  en la que relacionó diferentes incidentes que impidieron el reporte de la información al Sistema Único de Información – SUI, segun Resolución No. SSPD 20221000665435 del 18 de julio de 2022._x000a__x000a_Informa que las Mesas de ayuda registradas por Gas Natural del Cesar, fueron contestadas por el Grupo SUI para el Sector de Energía _x000a_Agrega que los formatos relacionados de las  mesas de ayuda, ya se encuentran certificados."/>
    <s v="62_05_2023_RV Notificacion electronica radicado salida No 20232031468021"/>
    <s v="62_05_2023_RTA_20232031468021"/>
    <s v="62_05_2023_20232031468021"/>
    <x v="3"/>
    <x v="4"/>
    <x v="1"/>
  </r>
  <r>
    <x v="13"/>
    <x v="1"/>
    <s v="Citación para notificar la Resolución CREG 502 035 de 2022 S2023002389 // Citación para notificar la Resolución CREG 502 035 de 2022 “Por la cual se_x000a_resuelven los recursos de reposición interpuestos por las empresas TGI S.A. E.S.P. y_x000a_VANTI S.A. E.S.P. contra la Resolución CREG 502 024 de 2022”"/>
    <d v="2023-05-18T00:00:00"/>
    <d v="2023-05-18T00:00:00"/>
    <s v="La notificación se realizará personalmente al representante legal o apoderado de la empresa VANTI S.A. E.S.P._x000a_Diez (10) días hábiles"/>
    <s v="61_05_2023_CREG_S2023002389"/>
    <m/>
    <m/>
    <x v="0"/>
    <x v="0"/>
    <x v="1"/>
  </r>
  <r>
    <x v="13"/>
    <x v="9"/>
    <s v="Solicitud de Informacion // Escalamiento ticket 10085791"/>
    <d v="2023-05-16T00:00:00"/>
    <d v="2023-05-10T00:00:00"/>
    <s v="Requerimiento Personería Municipal de Chía, en el cual requiere concepto técnico o de información sobre el COBRO SERVICIOS PUBLICOS, como también la metodología realizada para el cobro de las tarifas de consumo. Además, solicita la metodología para realizar las mediciones."/>
    <s v="60_05_2023_10085791 - 0 SP"/>
    <s v="60_05_2023_Rta Vanti_10085791-0"/>
    <s v="60_05_2023_Evidencia Envio_10085791-0"/>
    <x v="0"/>
    <x v="0"/>
    <x v="1"/>
  </r>
  <r>
    <x v="16"/>
    <x v="5"/>
    <s v="Requerimiento de Información No. 4 (Aspectos Técnicos) // Requerimiento de información AEGR grupo Vanti 2.25…"/>
    <d v="2023-05-09T00:00:00"/>
    <d v="2023-05-09T00:00:00"/>
    <s v="Requerimiento de información para el desarrollo de procedimientos en auditoría con corte a 31 de Diciembre de 2022, necesaria para la evaluación de los tópicos establecidos por las Resolución 555175 del 5 de octubre de 2021 y su modificación parcial 470165 del 16 de mayo de 2022 de la SSPD."/>
    <s v="59_05_2023_SOLICITUD DE INFORMACIÓN No 4 AERG GRUPO VANTI 2022_1_"/>
    <m/>
    <s v="59_05_2023_Status requerimiento KPMG Aspectos comerciales v2"/>
    <x v="0"/>
    <x v="0"/>
    <x v="1"/>
  </r>
  <r>
    <x v="17"/>
    <x v="0"/>
    <s v="Respuesta al requerimiento de información radicado 20232311184221"/>
    <d v="2023-04-28T00:00:00"/>
    <d v="2023-04-28T00:00:00"/>
    <s v="Solicitud de información sobre un evento que afectó el servicio a los clientes del municipio de Soacha y Sibaté el 23 de marzo de 2023. *No se proporciona información sobre si la empresa realizará compensaciones."/>
    <m/>
    <s v="https://grupovanti.sharepoint.com/:b:/r/sites/GerenciadeRegulacin/Shared%20Documents/General/2023/Regulaci%C3%B3n/58_05_2023_Requerimiento%20de%20informaci%C3%B3n%2020232311184221/58_05_2023_RTA_031-%20Respuesta%20requerimiento%20de%20informaci%C3%B3n%2020232311184221.pdf?csf=1&amp;web=1&amp;e=QHAaFZ"/>
    <s v="https://grupovanti.sharepoint.com/:f:/r/sites/GerenciadeRegulacin/Shared%20Documents/General/2023/Regulaci%C3%B3n/58_05_2023_Requerimiento%20de%20informaci%C3%B3n%2020232311184221?csf=1&amp;web=1&amp;e=k0EKyq"/>
    <x v="0"/>
    <x v="0"/>
    <x v="1"/>
  </r>
  <r>
    <x v="17"/>
    <x v="2"/>
    <s v="Comunicado respuesta a radicado 2-2023-008893 del 17-04-2023 “RPQ VANTI S.A. E.S.P. V"/>
    <d v="2023-04-21T00:00:00"/>
    <d v="2023-04-21T00:00:00"/>
    <s v="El representante legal de VANTI S.A. E.S.P. recibió un oficio del Ministerio con la validación del cuarto trimestre de 2022 de los subsidios y contribuciones del FSSRI de gas natural. Al comparar los valores reportados por Vanti y el Ministerio para la fila “Giros Recibidos de Otros Comercializadores”, se observa una diferencia de $396.185.232. Por lo tanto, el representante legal solicita el detalle de los $1.025.599.841 reportados por el Ministerio para aclarar la diferencia presentada en esta variable."/>
    <m/>
    <s v="https://grupovanti.sharepoint.com/:b:/r/sites/GerenciadeRegulacin/Shared%20Documents/General/2023/Regulaci%C3%B3n/39_04_2023_Comunicaci%C3%B3n%20MME%20-%20Diferencia%20Conciliacion%204Q%202022%20-%20Giros_JR_%20VANTI/39_04_2023_RTA_Comunicaci%C3%B3n%20MME%20-%20Diferencia%20Conciliacion%204Q%202022%20-%20Giros_JR_%20VANTI.pdf?csf=1&amp;web=1&amp;e=sfv35Y"/>
    <m/>
    <x v="0"/>
    <x v="6"/>
    <x v="1"/>
  </r>
  <r>
    <x v="13"/>
    <x v="0"/>
    <s v="Encuesta para la identificación y confirmación de necesidades de información estadística asociada al servicio público Domiciliario de Gas Combustible por Redes.Energía Eléctrica y Gas Combustible por RedesEnergía Eléctrica y Gas Combustible por Redes"/>
    <d v="2023-05-07T00:00:00"/>
    <d v="2023-05-07T00:00:00"/>
    <s v="La SSPD conforme a los requisitos de la Norma Técnica Colombiana - NTC PE 1000:2020, expedida por el DANE, diseñó y publicó la encuesta para la vigencia 2023, con el objetivo de identificar y confirmar las necesidades de los usuarios de la información estadística del servicio público domiciliario de Gas Combustible por Redes. Con su aporte diligenciando la encuesta, contribuye a la mejora de nuestras funciones como entidad en la planificación y toma de decisiones frente al flujo de información de la operación estadística, en términos de recursos, estructura y organización"/>
    <s v="RV Encuesta para la identificación y confirmación de necesidades de información estadística asociada al servicio público Domiciliario de Gas Combustible por Redes"/>
    <m/>
    <m/>
    <x v="0"/>
    <x v="7"/>
    <x v="1"/>
  </r>
  <r>
    <x v="18"/>
    <x v="0"/>
    <s v="Requerimientos Radicados SSPD No. 20235290634212 y 20235290740212"/>
    <d v="2023-05-02T00:00:00"/>
    <d v="2023-05-03T00:00:00"/>
    <s v="Preguntas relacionadas a los puntos 11 y 61 contenidos en el derecho de peticion e informacion adicional con anexos"/>
    <s v="35_04_2023_userFile1682615443683"/>
    <s v="35_04_2023_ - Respuesta requerimiento a la SSPD 20232311249921"/>
    <m/>
    <x v="0"/>
    <x v="0"/>
    <x v="3"/>
  </r>
  <r>
    <x v="19"/>
    <x v="2"/>
    <s v="Por la cual se ordena el giro, para cubrir subsidios por menores tarifas, a las empresas del sector gas combustible domiciliario por red, correspondientes al saldo restante de los trimestres comprendidos entre el segundo trimestre de 2017 y el tercer trimestre de 2022"/>
    <d v="2023-04-29T00:00:00"/>
    <d v="2023-04-29T00:00:00"/>
    <s v="Se asigna saldos restantes por concepto de giro para cubrir subsidios por tarifas a personas de menos recursos para años 2017 - 2022 (trimestres correspondientes)"/>
    <s v="56_04_2023_MME_AsignacionSubsidios _Resol. 000346 del 21 de abril de 2023 PS 3-2022"/>
    <m/>
    <m/>
    <x v="0"/>
    <x v="2"/>
    <x v="1"/>
  </r>
  <r>
    <x v="18"/>
    <x v="0"/>
    <s v="PQRS PENDIENTES AL 13-04-23 // TICKET 9896762 MAL RADICADO ---// Requerimiento de informacion por evento presentado en punto de entrada Caramelo del Sistema Nacional de Transporte - SNT"/>
    <d v="2023-04-28T00:00:00"/>
    <d v="2023-04-28T00:00:00"/>
    <s v="La gestion de esta respuesta se ha prolongado a hoy 18 dias,  y atendiendo el hilo del correo se reconoce la estructura para la respuesta que debe darse. Solicitan ubicando en copia del correo a nuestrta AREA."/>
    <s v="55_04_2023_VANTI_9896762 - 01523CR0004838"/>
    <s v="55_04_2023_Rta_VANTI_Respuesta requerimiento SSPD - 28-04-2023"/>
    <m/>
    <x v="0"/>
    <x v="0"/>
    <x v="1"/>
  </r>
  <r>
    <x v="20"/>
    <x v="2"/>
    <s v="MINENERGIA: Registro radicado 2-2023-009960 // RDP 1-2023-017219 a GNCBY Tarifas Zipaquirá"/>
    <d v="2023-05-10T00:00:00"/>
    <d v="2023-05-08T00:00:00"/>
    <s v="Nelly Calderón presentó una petición al Ministerio de Minas y Energía con radicado minenergia 1-2023-017219 del 06 de abril de 2023, mediante la cual plantea algunas inquietudes relacionadas con el incremento en la tarifa mensual por metro cúbico de gas en el estrato 3, cobrado por la empresa Gas Natural Cundiboyacense S.A ESP en el municipio de Zipaquirá – Cundinamarca. El Ministerio de Minas y Energía trasladó la petición a la empresa Gas Natural Cundiboyacense S.A ESP para que proceda a dar respuesta a las inquietudes planteadas por la Sra. Nelly Calderón"/>
    <s v="53_04_2023_GNCB_Traslado_202331020099602"/>
    <s v="53_05_2023_RTA de vanti _ 10156048_0"/>
    <s v="53_04_2023_Anexo_Traslado_1202331020099602_00002"/>
    <x v="1"/>
    <x v="5"/>
    <x v="1"/>
  </r>
  <r>
    <x v="21"/>
    <x v="10"/>
    <s v="SOLICITUD DE PAGO DE CONTRIBUCION ECONOMICA VIGENCIAS 2022 Y 2023 / CUENTAS DE COBRO ESTRATIFICACIÓN PIEDECUESTA - BARRANCABERMEJA GOR"/>
    <d v="2023-05-05T00:00:00"/>
    <d v="2023-05-02T00:00:00"/>
    <s v="La oficina de asesoria de planeacion de piedecuesta, soliita el pago del 50% de la contribucion economica vigencia 2022 y 2023 /Tambien se agrega en un correo recibido el 25/04/23; En la cuenta de cobro de 11.591.200 uno de los anexos indica que hace referencia a un pago pendiente del 2022; sin embargo, esta cuenta se remitió a Vanti en esta vigencia._x000a_"/>
    <s v="52_04_23_Grupo VANTI"/>
    <s v="RE Soportes De Pago - Concurso Económico .msg"/>
    <m/>
    <x v="0"/>
    <x v="6"/>
    <x v="1"/>
  </r>
  <r>
    <x v="22"/>
    <x v="1"/>
    <s v="Actualización regulatoria - consulta WACC de Transporte"/>
    <d v="2023-04-20T00:00:00"/>
    <d v="2023-04-20T00:00:00"/>
    <s v="PROPUESTA DE AJUSTE A LA TASA DE DESCUENTO QUE SE DEFINIÓ EN LA RESOLUCIÓN CREG 103 DE 2021 -"/>
    <s v="47_04_2023_VANTI_Ajuste WACC_Doc_ sop_702 001_2023_TD_GN"/>
    <m/>
    <s v="https://grupovanti.sharepoint.com/:w:/r/sites/GerenciadeRegulacin/Shared%20Documents/General/2023/Regulaci%C3%B3n/47_04_2023_VANTI_Ajuste%20WACC_Doc_%20sop_702%20001_2023_TD_GN/47_04_2023_Vanti_%20CREG%20702%20001_2023.docx?d=wa1ca705588194568bd242be80e6b533e&amp;csf=1&amp;web=1&amp;e=6EgZO9"/>
    <x v="0"/>
    <x v="8"/>
    <x v="1"/>
  </r>
  <r>
    <x v="23"/>
    <x v="0"/>
    <s v="Requerimiento de información Bogota"/>
    <d v="2023-01-17T00:00:00"/>
    <m/>
    <s v="Como arrendataria del local comercial ubicado en la cr. 27 # 45 A 66 Local 1, cuenta contrato 63012867,  presentar una solicitud respetuosa a VANTI correspondiente a solicitar información y respuestas sobre la multa que aparece en su factura y que no tiene resolución a dia de hoy"/>
    <s v="44_04_2023_DPeticion  Dayana a Vanti"/>
    <m/>
    <s v="Dr Rodolfo Anaya A.pdf"/>
    <x v="0"/>
    <x v="0"/>
    <x v="2"/>
  </r>
  <r>
    <x v="24"/>
    <x v="11"/>
    <s v="DERECHO DE PETICIÓN _x000a_DAYANA GERALDINE MORA RODRIGUEZ"/>
    <d v="2023-05-01T00:00:00"/>
    <d v="2023-05-04T00:00:00"/>
    <s v="Nota*  ya fue enviada a servicio al cliente para su gestión._x000a_DAYANA GERALDINE MORA RODRIGUEZ presenta un derecho de petición a Vanti solicitando la expedición de la factura únicamente con los consumos correspondientes a los tres últimos meses de la cuenta 63012867 y la actualización de la información para las notificaciones correspondientes. La cuenta se encuentra en un proceso por presunta manipulación del medidor y ha recibido información dirigida a una persona desconocida. La petición se sustenta en el marco de la Ley 142 de 1994."/>
    <s v="44_04_2023_DPeticion  Dayana a Vanti"/>
    <s v="44_05_2023_Recordatorio enviado a Servicio al Cliente_RE DERECHO DE PETICIÓN"/>
    <m/>
    <x v="0"/>
    <x v="5"/>
    <x v="3"/>
  </r>
  <r>
    <x v="25"/>
    <x v="2"/>
    <s v="CERTIFICACIÓN DE LA PRESTACIÓN DEL SERVICIO ENERO Y FEBRERO DE 2023_x000a_ SOLICITUD FONDO DE SOLIDARIDAD //Certificación de la prestación del servicio de gas combustible por redes de tubería para los meses de enero y febrero 2023 por parte de GAS NATURAL DEL ORIENTE S.A. E.S.P."/>
    <d v="2023-04-19T00:00:00"/>
    <d v="2023-04-19T00:00:00"/>
    <s v="certifica que se ha prestado de manera efectiva el servicio de gas combustible por redes de tubería para los cuatro mercados relevantes aprobados por la CREG y que los subsidios y contribuciones para enero y febrero de 2023 han sido aplicados en la facturación de los usuarios."/>
    <m/>
    <s v="43_04_2023_Comunicación MME - Certificación enero y febrero 2023 GOR"/>
    <m/>
    <x v="2"/>
    <x v="9"/>
    <x v="1"/>
  </r>
  <r>
    <x v="25"/>
    <x v="2"/>
    <s v="CERTIFICACIÓN DE LA PRESTACIÓN DEL SERVICIO ENERO Y FEBRERO DE 2023_x000a_ SOLICITUD FONDO DE SOLIDARIDAD //_x000a_Certificación de la prestación del servicio de gas combustible por redes de tubería para los meses de enero y febrero 2023 por parte de GAS NATURAL DEL CESAR S.A. E.S.P."/>
    <d v="2023-04-19T00:00:00"/>
    <d v="2023-04-19T00:00:00"/>
    <s v="El Representante Legal Tipo B de GAS NATURAL DEL CESAR S.A. E.S.P. certifica que se ha prestado de manera efectiva el servicio de gas combustible por redes de tubería para los dos mercados relevantes aprobados por la CREG y que los subsidios y contribuciones para enero y febrero de 2023 han sido aplicados en la facturación de los usuarios."/>
    <m/>
    <s v="42_04_2023_Comunicación MME - Certificación enero y febrero 2023 GNCR"/>
    <m/>
    <x v="3"/>
    <x v="9"/>
    <x v="1"/>
  </r>
  <r>
    <x v="25"/>
    <x v="2"/>
    <s v="CERTIFICACIÓN DE LA PRESTACIÓN DEL SERVICIO ENERO Y FEBRERO DE 2023_x000a_ SOLICITUD FONDO DE SOLIDARIDAD //_x000a_Certificación de la prestación del servicio de gas combustible por redes de tubería para los meses de enero y febrero 2023 por parte de GAS NATURAL CUNDIBOYACENSE S.A. E.S.P."/>
    <d v="2023-04-19T00:00:00"/>
    <d v="2023-04-19T00:00:00"/>
    <s v="El Representante Legal Tipo B de GAS NATURAL CUNDIBOYACENSE S.A. E.S.P. certifica que se ha prestado de manera efectiva el servicio de gas combustible por redes de tubería para los dos mercados relevantes aprobados por la CREG y que los subsidios y contribuciones para enero y febrero de 2023 han sido aplicados en la facturación de los usuarios."/>
    <m/>
    <s v="41_04_2023_Comunicación MME - Certificación enero y febrero 2023 GNCB"/>
    <m/>
    <x v="1"/>
    <x v="9"/>
    <x v="1"/>
  </r>
  <r>
    <x v="25"/>
    <x v="2"/>
    <s v="CERTIFICACIÓN DE LA PRESTACIÓN DEL SERVICIO ENERO Y FEBRERO DE 2023_x000a_ SOLICITUD FONDO DE SOLIDARIDAD //_x000a_Certificación de la prestación del servicio de gas combustible por redes de tubería para los meses de enero y febrero 2023 por parte de VANTI S.A. E.S.P."/>
    <d v="2023-04-19T00:00:00"/>
    <d v="2023-04-19T00:00:00"/>
    <s v="certifica que se ha prestado de manera efectiva el servicio de gas combustible por redes de tubería para los cuatro mercados relevantes aprobados por la CREG y que los subsidios y contribuciones para enero y febrero de 2023 han sido aplicados en la facturación de los usuarios."/>
    <m/>
    <s v="40_04_2023_Comunicación MME - Certificación enero y febrero 2023 Vanti"/>
    <m/>
    <x v="0"/>
    <x v="9"/>
    <x v="1"/>
  </r>
  <r>
    <x v="25"/>
    <x v="2"/>
    <s v="RPQ GAS NATURAL DEL ORIENTE S.A ESP Validación 4-2022 FSSRI GAS"/>
    <d v="2023-04-18T00:00:00"/>
    <d v="2023-04-18T00:00:00"/>
    <s v="Comunicación del Ministerio de Minas y Energía al doctor Henao para validar la información reportada por la empresa GAS NATURAL DEL ORIENTE S.A E.S.P. sobre los subsidios y contribuciones aplicados en el 4° Trimestre 2022. El Ministerio indica que no encontró diferencias significativas entre la información cargada y la verificada y que los subsidios solicitados solo se girarán a los prestadores que cumplan con el Sistema Único de Información."/>
    <s v="38_04_2023_GOR_202331020089232"/>
    <m/>
    <m/>
    <x v="2"/>
    <x v="6"/>
    <x v="1"/>
  </r>
  <r>
    <x v="25"/>
    <x v="2"/>
    <s v="RPQ GAS NATURAL CUNDIBOYACENSE S.A ESP Validación 4- 2022 FSSRI GAS"/>
    <d v="2023-04-18T00:00:00"/>
    <d v="2023-04-18T00:00:00"/>
    <s v="Comunicación del Ministerio de Minas y Energía al doctor Henao para validar la información reportada por la empresa GAS NATURAL DEL ORIENTE S.A E.S.P. sobre los subsidios y contribuciones aplicados en el 4° Trimestre 2022. El Ministerio indica que no encontró diferencias significativas entre la información cargada y la verificada y que los subsidios solicitados solo se girarán a los prestadores que cumplan con el Sistema Único de Información."/>
    <s v="37_04_2023_GNCB_202331020089392"/>
    <m/>
    <m/>
    <x v="1"/>
    <x v="10"/>
    <x v="1"/>
  </r>
  <r>
    <x v="25"/>
    <x v="0"/>
    <s v="Comentarios al proyecto de resolución - Lineamientos a los prestadores de los servicios públicos domiciliarios en el marco de la protección al usuario."/>
    <d v="2023-04-18T00:00:00"/>
    <d v="2023-04-18T00:00:00"/>
    <s v="Mediante la presente comunicación, el Grupo Vanti que remite sus comentarios al proyecto de resolución del asunto._x000a_1. Sobre la inconveniencia de prohibir cobros esenciales y obligar a la separación de códigos de pago_x000a_ 2. Falta de justificación suficiente frente a inclusión de procedimiento de cambio de medidores en contrato de condiciones uniformes - CCU_x000a_3. Falta de justificación suficiente frente a prohibición de facturas digitales sin requisitos formales_x000a_ 4. Falta de justificación suficiente frente a procedimiento para reportar predio desocupado_x000a_5. Sobre el riesgo jurídico de que la Superintendencia de Servicios Públicos – SSPD emita regulación_x000a_6. Falta de memoria justificativa en la consulta a la ciudadanía"/>
    <s v="36_04_2023_Comentarios Grupo Vanti _10150500_031"/>
    <m/>
    <m/>
    <x v="0"/>
    <x v="10"/>
    <x v="1"/>
  </r>
  <r>
    <x v="26"/>
    <x v="12"/>
    <s v="Derecho de Petición de Información de Organización Política declarada en oposición. Artículo 16 de la Ley 1909 de 2018."/>
    <d v="2023-04-28T00:00:00"/>
    <d v="2023-05-12T00:00:00"/>
    <s v="Petición de un concejal de Bogotá JAVIER OSPINA   al doctor Juan Felipe Rojas para que apruebe los estudios y diseños de una obra vial en la localidad de Bosa que está deteriorada y requiere intervención."/>
    <s v="48_04_2023_VANTI_ DERECHO DE PETICION EMPRESAS SERVICIOS PUBLICOS MALLA VIAL venti 307"/>
    <s v="48_05_2023_Respuesta 10283702 - 0 Concejo de Bogotá-JAvier Alejandro Ospina R"/>
    <s v="48_04_2023_VANTI_ DERECHO DE PETICION EMPRESAS SERVICIOS PUBLICOS MALLA VIAL venti 307"/>
    <x v="0"/>
    <x v="5"/>
    <x v="3"/>
  </r>
  <r>
    <x v="27"/>
    <x v="2"/>
    <s v="Traslado radicado número 1-2023-012532 del Ministerio de Minas y Energía"/>
    <d v="2023-04-21T00:00:00"/>
    <d v="2023-04-21T00:00:00"/>
    <s v="Se recibe Derecho de Peticion del señor Manuel Rodriguez “Derecho de petición respecto de la situación de desastre ambiental, vial y social frente al grave riesgo por falta de acceso a los servicios públicos de manera real y efectiva y el cobro ilegal en la comuna 4 y sus barrios entre ellos robles, valcanes y demás barrios que la conforman.”"/>
    <s v="35_04_23_MME Traslado radicado número 1-2023-012532 del Ministerio de Minas y Energía"/>
    <s v="45_04_2023_Respuesta DP VANTI 9715042-0 Derecho de Petición CREG E2023002217 (V_28 marzo)"/>
    <s v="35_04_23_Anexo CREG_1202332050085862_00003"/>
    <x v="0"/>
    <x v="0"/>
    <x v="1"/>
  </r>
  <r>
    <x v="28"/>
    <x v="1"/>
    <s v="Solicitud Acceso expediente 2022 –0063"/>
    <d v="2023-05-23T00:00:00"/>
    <d v="2023-05-23T00:00:00"/>
    <s v="Giovanni como representante legal de la sociedad VANTI Solicita acceso a la totalidad del expediente No. 2022-0063 acompañado de si aplica los argumentos que la sociedad TrasmetanoS.A. E.S.P, expuso para alegar su reserva."/>
    <s v="34_04_23_Transmetano_Comunicación CREG- Solicitud Acceso Expediente Transmetano - 11-04-2023_JR"/>
    <s v="34_05_2023_RTA_CREG_S2023002571.pdf"/>
    <s v="34_05_2023_Anexo_RV__Solicitud_Acceso_expediente_2022___0063_1681488682873"/>
    <x v="0"/>
    <x v="11"/>
    <x v="1"/>
  </r>
  <r>
    <x v="28"/>
    <x v="1"/>
    <s v="Solicitud Acceso expediente 2022-0065"/>
    <d v="2023-05-23T00:00:00"/>
    <d v="2023-05-23T00:00:00"/>
    <s v="Giovanni como representante legal de la sociedad VANTI Solicita acceso a la totalidad del expediente No. 2022-0065 acompañado de si aplica los argumentos que la sociedad Promigas S.A. E.S.P,. expuso para alegar su reserva."/>
    <s v="33_04_23_Promigas_Comunicación CREG- Solicitud Acceso Expediente Promigas - 11-04-2023_JR"/>
    <s v="33_05_2023_Promigas_comunicación CREG_10322044 - 0 SP (1)"/>
    <s v="33_05_2023_Anexo_Solicitud_Acceso_expediente_2022_0065_1681489261891"/>
    <x v="0"/>
    <x v="11"/>
    <x v="1"/>
  </r>
  <r>
    <x v="28"/>
    <x v="1"/>
    <s v="Solicitud Acceso expediente 2022 – 0068"/>
    <d v="2023-05-23T00:00:00"/>
    <d v="2023-05-23T00:00:00"/>
    <s v="Giovanni como representante legal de la sociedad VANTI Solicita acceso a la totalidad del expediente No. 2022 – 0068 acompañado de si aplica los argumentos que la sociedad Promioriente S.A. E.S.P. expuso para alegar su reserva."/>
    <s v="32_04_2023_Promioriente_Solicitud Acceso expediente 2022 – 0068"/>
    <s v="32_05_2023_RTA_S2023002570"/>
    <s v="32_05_2023_Anexo_Actuacion_administrativa_en_virtud_de_lo_dispuesto_en_el_articulo_8_de_la_Resolucion_CREG_175_de_202_1681487397117"/>
    <x v="0"/>
    <x v="11"/>
    <x v="1"/>
  </r>
  <r>
    <x v="29"/>
    <x v="0"/>
    <s v="Solicitud de reversión voluntaria del formato SUI GRCS8 (Datos Consolidados – Esquema de Revisiones Periódicas) Periodo 2- 2023."/>
    <d v="2023-05-18T00:00:00"/>
    <d v="2023-05-11T00:00:00"/>
    <s v="Gas Natural del Oriente S.A. E.S.P. certificó erróneamente el formato GRCS8 en la plataforma SUI y solicita su reversión voluntaria para cargar la información correcta. Adjuntan los archivos con la información certificada y su respectiva modificación._x000a_RTA SSPD: Aprueba y Autoriza el cargue de la informacion objeto de reversion (GRC8 GOR) con plazo de 8 dias para realizar la gestion."/>
    <s v="50_04_2023_GOR_10184520 -179  2023 Solicitud de Reversión GOR_GRCS8"/>
    <s v="50_05_2023_RTA SSPD_ 20232031634231"/>
    <s v="50_05_2023_FF_CERTIFICADO_202305112023345297"/>
    <x v="2"/>
    <x v="12"/>
    <x v="1"/>
  </r>
  <r>
    <x v="29"/>
    <x v="1"/>
    <s v="Respuesta radicado S-2023-000980 Reporte de información de gastos AOM -   Número de Radicado: E2023006067"/>
    <d v="2023-04-10T00:00:00"/>
    <d v="2023-04-10T00:00:00"/>
    <s v="Respuesta de Gas Natural del Oriente S.A. E.S.P. a un requerimiento de la Comisión sobre la información (S-2023-000980) de gastos y costos AOM reportada en unas plantillas. La empresa informa que ya había ajustado y enviado las plantillas sin valores negativos y que las vuelve a adjuntar para atender el requerimiento."/>
    <s v="https://grupovanti.sharepoint.com/:b:/r/sites/GerenciadeRegulacin/Shared%20Documents/General/2023/Regulaci%C3%B3n/49_04_2023_%20GOR_%20026%20-%20Respuesta%20radicado%202023%20_%20000980_Gastos%20AOM_JR/49_04_2023_%20GOR_%20026%20-%20Respuesta%20radicado%202023%20_%20000980_Gastos%20AOM_JR.pdf?csf=1&amp;web=1&amp;e=Kg5kn5"/>
    <m/>
    <s v="https://grupovanti.sharepoint.com/:u:/r/sites/GerenciadeRegulacin/Shared%20Documents/General/2023/Regulaci%C3%B3n/49_04_2023_%20GOR_%20026%20-%20Respuesta%20radicado%202023%20_%20000980_Gastos%20AOM_JR/49_04_2023_GasOriente2020%20S2023000980.zip?csf=1&amp;web=1&amp;e=fMPQ4D"/>
    <x v="2"/>
    <x v="8"/>
    <x v="1"/>
  </r>
  <r>
    <x v="29"/>
    <x v="0"/>
    <s v="DENUNCIA Y SOLICITUD // DENUNCIA Y SOLICITUD INMEDIATA, VANTI S.A.  ESP_x000a_NIT 800.007.813-5, Calle 71A # 5-38, Bogotá DC  "/>
    <d v="2023-04-26T00:00:00"/>
    <d v="2023-04-26T00:00:00"/>
    <s v="Se escala el Derecho de peticion realizado el 8/4/23 con la SSPD donde ahora realiza una Denuncia y tambie la Solicitud relacionado a su situacion. Paz y Salvo / Ajuste Factura / que no se repita "/>
    <s v="46_04_2023_Vanti_Solicitud DP JHON JAIRO GUTIÉRREZ DUQUE"/>
    <s v="46_Rta_DP"/>
    <m/>
    <x v="0"/>
    <x v="5"/>
    <x v="1"/>
  </r>
  <r>
    <x v="30"/>
    <x v="1"/>
    <s v="Requerimiento para completar información y documentos de la solicitud_x000a_taifaria para la distribución y comercialización de gas combustible por redes_x000a_en el mercado relevante conformado por el municipio Santa Rosa del Sur en el_x000a_departamento de Bolívar, presentada por la empresa GAS NATURAL DEL_x000a_ORIENTE S.A. E.S.P._x000a_Radicado CREG: E-2022-014745_x000a_Apligas No. 2889"/>
    <d v="2023-04-05T00:00:00"/>
    <d v="2023-04-05T00:00:00"/>
    <s v="S2023001972 - Rta Solicitud Cargos de Distribución / No se cumplio metodologia según lineamientos Circular CREG 030 de 2019 / Requerimientos adicionales"/>
    <s v="https://grupovanti.sharepoint.com/:b:/r/sites/GerenciadeRegulacin/Shared%20Documents/General/2023/Regulaci%C3%B3n/CREG/GOR/S2023001972%20_GOR_29_03_23.pdf?csf=1&amp;web=1&amp;e=yMbtlZ"/>
    <s v="https://grupovanti.sharepoint.com/:b:/r/sites/GerenciadeRegulacin/Shared%20Documents/General/2023/Regulaci%C3%B3n/CREG/GOR/Alcance%20solicitud%20tarifaria_05_04_23_GOR.pdf?csf=1&amp;web=1&amp;e=ODPndB"/>
    <m/>
    <x v="2"/>
    <x v="0"/>
    <x v="1"/>
  </r>
  <r>
    <x v="31"/>
    <x v="13"/>
    <s v="Remision de informacion para realizar el pago  del aporte concurso economico presupuesto anual de gastos de comité permanente de estratificacion para la vigencia 2023"/>
    <d v="2023-04-04T00:00:00"/>
    <d v="2023-04-04T00:00:00"/>
    <s v="SPDI-CH-073-2023_x000a_Anexos y recibo de pago para la tarifa correspondiente a cada empresa prestadora y comercializadora de servicios publicos domiciliarios del PRESUPUESTO ANUAL DE GASTOS DEL COMITÉ PERMANENTE DE ESTRATIFICACION PARA LA VIGENCIA 2023"/>
    <s v="SPDI-CH-073-2023_Chiquinquira"/>
    <m/>
    <s v="Chiquin_RV Remisión de información para realización del pago del aporte concurso económico presupuesto anual de gastos del comité permanente de estratificación para la vigencia 2023."/>
    <x v="0"/>
    <x v="0"/>
    <x v="1"/>
  </r>
  <r>
    <x v="32"/>
    <x v="14"/>
    <s v="solicitud aclaración de inquietudes de información enviada al DANE."/>
    <d v="2023-04-03T00:00:00"/>
    <d v="2023-04-03T00:00:00"/>
    <s v="REPORTE DE INFORMACION PERIODICA DE GAS PARA GENERAR INFORMACION SOBRE LA EVOLUCION DEL SECTOR INDUSTRIAL CON INFORMACION DE DETALLE EN LOS DATOS ENTREGADOS SEGÚN PUNTOS ACORDADOS EN REUNION 15 DE MARZO DE 2023"/>
    <s v="https://grupovanti.sharepoint.com/:b:/r/sites/GerenciadeRegulacin/Shared%20Documents/General/2023/Regulaci%C3%B3n/DANE/RTA%20-20232100002251T-GRUPO%20VANTI_03_23.pdf?csf=1&amp;web=1&amp;e=VPyy3P"/>
    <m/>
    <s v="Radicado No. 20232100002251T"/>
    <x v="0"/>
    <x v="8"/>
    <x v="1"/>
  </r>
  <r>
    <x v="33"/>
    <x v="0"/>
    <s v="Requerimiento factor de corrección cuenta suscriptor 63726671 "/>
    <d v="2023-03-27T00:00:00"/>
    <d v="2023-03-27T00:00:00"/>
    <s v="Radicado No.: 20232311028311 - Diligenciar Archivo en Excel formulado - Evidencia fotográfica disponible - Acta de revisión técnica"/>
    <s v="https://grupovanti.sharepoint.com/:b:/r/sites/GerenciadeRegulacin/Shared%20Documents/General/2023/Regulaci%C3%B3n/SSPD%20MARZO/VANTI/RAD2_GOR_22_03_23.pdf?csf=1&amp;web=1&amp;e=i3LBIg"/>
    <m/>
    <m/>
    <x v="2"/>
    <x v="0"/>
    <x v="1"/>
  </r>
  <r>
    <x v="33"/>
    <x v="0"/>
    <s v="Requerimiento de información tarifaria periodo enero 2023 y copia de las facturas del_x000a_pago de suministro y transporte de gas natural - Radicado No.: 20232311079961"/>
    <d v="2023-04-05T00:00:00"/>
    <d v="2023-04-05T00:00:00"/>
    <s v="Radicado No.: 20232311079961 - con el fin verificar que la empresa ha calculado correctamente los costos de los_x000a_componentes de Suministro (G), Transporte (T), Distribución (D) y Comercialización © e requiere &quot;Copia de las facturas…&quot; diligenciar &quot;Archivo Excel adjunto&quot;, &quot;Copia digital de los nuevos contratos de suministro&quot;"/>
    <s v="https://grupovanti.sharepoint.com/:b:/r/sites/GerenciadeRegulacin/Shared%20Documents/General/2023/Regulaci%C3%B3n/SSPD%20MARZO/VANTI/RAD1_vanti_22_03_23.pdf?csf=1&amp;web=1&amp;e=VZhDiD"/>
    <s v="https://grupovanti.sharepoint.com/:b:/r/sites/GerenciadeRegulacin/Shared%20Documents/General/2023/Regulaci%C3%B3n/SSPD/VANTI/28-Respuesta%20SSPD%20Radicado%2020232311079961_05_04_23_Vanti.pdf?csf=1&amp;web=1&amp;e=im3gaF"/>
    <m/>
    <x v="0"/>
    <x v="0"/>
    <x v="1"/>
  </r>
  <r>
    <x v="34"/>
    <x v="15"/>
    <s v="Secretaria de Infraestructura y Planeacion Municipio de Sutatausa"/>
    <d v="2023-04-07T00:00:00"/>
    <d v="2023-03-28T00:00:00"/>
    <s v="Solicitan remitir copia del Ajuste del reporte de liquidacion en  formato excel  / Estratificacion / liquidacion y facturacion de SPD"/>
    <s v="https://grupovanti.sharepoint.com/:b:/r/sites/GerenciadeRegulacin/Shared%20Documents/General/2023/Regulaci%C3%B3n/Municipio%20Sutatausa/userFile1679595698880_GVANTI_MunicipioSutatausa_14_03_23.pdf?csf=1&amp;web=1&amp;e=66pfrN"/>
    <m/>
    <m/>
    <x v="0"/>
    <x v="0"/>
    <x v="1"/>
  </r>
  <r>
    <x v="18"/>
    <x v="1"/>
    <s v="Traslado derecho de petición respecto de la situación de desastre_x000a_ambiental, vial y social frente al grave riesgo por falta de acceso a los_x000a_servicios públicos de manera real y efectiva y el cobro ilegal en la comuna_x000a_4 y sus barrios entre ellos robles, valcanes y demás barrios que la_x000a_conforman._x000a_Radicado CREG E2023002217 _x000a_Expediente CREG General N/A"/>
    <d v="2023-05-01T00:00:00"/>
    <d v="2023-04-04T00:00:00"/>
    <s v="Solicitud del señor MANUEL RODRÍGUEZ con correo:_x000a_veeduriatransparenciacolombia@gmail.com, del municipio de Soacha en la cual solicita_x000a_respuestas a algunas preguntas que son de su conocimiento sobre el servicio público_x000a_domiciliario de gas natural que se presta en el municipio de Soacha, más_x000a_específicamente en la comuna 4 en los barrios Robles, Valcanes y demás barrios que la_x000a_conforman, específicamente lo que concierne a las preguntas 4, 11, 19, 22 y 23 del_x000a_cuestionario que reposa en nuestro radicado CREG E2023002217,S2023001721"/>
    <s v="35_04_2023_CREG _ Comuna 4 Soacha S2023001721"/>
    <s v="45_04_2023_Respuesta DP VANTI 9715042-0 Derecho de Petición CREG E2023002217 (V_28 marzo)"/>
    <m/>
    <x v="0"/>
    <x v="0"/>
    <x v="1"/>
  </r>
  <r>
    <x v="35"/>
    <x v="16"/>
    <s v="Radicación recibo 23990020909 VANTI primera cuota (1) Resolución 279 de 2023"/>
    <d v="2023-03-13T00:00:00"/>
    <d v="2023-03-13T00:00:00"/>
    <s v="Radicado primera cuota del concurso economico acompañado de anexos como el recibo de pago y Resolución 279 del 14 de febrero de 2023 - pendiente de soporte de pago"/>
    <s v="RESOLUCION 279 CONCURSO ECONOMICO_VANTI_ 2023"/>
    <m/>
    <s v="Soporte de pago_concurso economico Vigencia 2023_Vanti_23990036902"/>
    <x v="0"/>
    <x v="8"/>
    <x v="1"/>
  </r>
  <r>
    <x v="36"/>
    <x v="0"/>
    <s v="Requerimiento Radicado N. 20232310852571–  en realcion a Radicado SSPD No. 20235290368862/ del 27 de enero de 2023"/>
    <d v="2023-03-13T00:00:00"/>
    <d v="2023-03-13T00:00:00"/>
    <s v="Radicado 20232310852571 -- Radicado_No._20232310716951 -- Se solicita información base para el cálculo de los indicadores de gestión_x000a_de acuerdo con lo establecido en la Resolución CREG 072 de 2002"/>
    <m/>
    <m/>
    <m/>
    <x v="0"/>
    <x v="0"/>
    <x v="1"/>
  </r>
  <r>
    <x v="37"/>
    <x v="0"/>
    <s v="Saldos y el histórico de los valores en la tarifa del usuario final (CREG-048) Opcion Tarifaria"/>
    <d v="2023-03-17T00:00:00"/>
    <d v="2023-03-17T00:00:00"/>
    <s v="Solicita el diligenciamiento del Excel &quot;SA_OTT_2023.xls&quot; "/>
    <m/>
    <s v="https://grupovanti.sharepoint.com/:b:/r/sites/GerenciadeRegulacin/Shared%20Documents/General/2023/Regulaci%C3%B3n/SSPD%20MARZO/VANTI/Vanti%20Recuperaci%C3%B3n%20de%20saldos%20acumulados%20de%20la%20Resoluci%C3%B3n%20CREG%20048.pdf?csf=1&amp;web=1&amp;e=Pczgcq"/>
    <m/>
    <x v="0"/>
    <x v="0"/>
    <x v="1"/>
  </r>
  <r>
    <x v="37"/>
    <x v="0"/>
    <s v="Saldos y el histórico de los valores en la tarifa del usuario final (CREG-048)"/>
    <d v="2023-03-17T00:00:00"/>
    <d v="2023-03-17T00:00:00"/>
    <s v="Radicado No. 20232310850391  -- Solicita el diligenciamiento del Excel &quot;SA_OTT_2023.xls&quot; "/>
    <m/>
    <s v="Recuperación de saldos acumulados de la Resolución CREG 048 _ GNCR.pdf"/>
    <m/>
    <x v="3"/>
    <x v="0"/>
    <x v="1"/>
  </r>
  <r>
    <x v="37"/>
    <x v="0"/>
    <s v="Saldos y el histórico de los valores en la tarifa del usuario final (CREG-048)"/>
    <d v="2023-03-17T00:00:00"/>
    <d v="2023-03-17T00:00:00"/>
    <s v="Radicado No. 20232310850401  -- Solicita el diligenciamiento del Excel &quot;SA_OTT_2023.xls&quot; "/>
    <m/>
    <s v="Recuperación de saldos acumulados de la Resolución CREG 048 _ GOR.pdf"/>
    <m/>
    <x v="2"/>
    <x v="0"/>
    <x v="1"/>
  </r>
  <r>
    <x v="37"/>
    <x v="0"/>
    <s v="Saldos y el histórico de los valores en la tarifa del usuario final (CREG-048)"/>
    <d v="2023-03-17T00:00:00"/>
    <d v="2023-03-17T00:00:00"/>
    <s v="Solicita el diligenciamiento del Excel &quot;SA_OTT_2023.xls&quot; "/>
    <m/>
    <s v="Vanti Recuperación de saldos acumulados de la Resolución CREG 048 _ gncb.pdf"/>
    <m/>
    <x v="1"/>
    <x v="0"/>
    <x v="1"/>
  </r>
  <r>
    <x v="37"/>
    <x v="0"/>
    <s v="Radicado No. 20232310850381   Saldos y el histórico de los valores en la tarifa del usuario final (CREG-048)"/>
    <d v="2023-03-17T00:00:00"/>
    <d v="2023-03-03T00:00:00"/>
    <s v="Radicado No. 20232310850381  -- El Comercializador deberá mantener_x000a_actualizada la información relativa a los saldos acumulados, y el histórico de los valores que se_x000a_trasladan a la tarifa del usuario final"/>
    <m/>
    <m/>
    <s v="E2023004099"/>
    <x v="1"/>
    <x v="0"/>
    <x v="1"/>
  </r>
  <r>
    <x v="38"/>
    <x v="0"/>
    <s v="Respuesta Requerimiento de información sobre la Revisión Periódica Obligatoria – RPO_x000a_Radicado No. 20232310847821"/>
    <d v="2023-03-13T00:00:00"/>
    <d v="2023-03-13T00:00:00"/>
    <s v="En atención al comunicado enunciado en el asunto, por medio del cual solicita información relacionada con el proceso de revisión periódica obligatoria, al 31 de diciembre de 2022 Y RTA"/>
    <m/>
    <s v="https://grupovanti.sharepoint.com/:b:/r/sites/GerenciadeRegulacin/Shared%20Documents/General/2023/Regulaci%C3%B3n/SSPD%20MARZO/GNCB/028-%20Respuesta%20requerimiento%20Informaci%C3%B3n%20RPO%202022_cundi.pdf?csf=1&amp;web=1&amp;e=iHz98L"/>
    <s v="https://grupovanti.sharepoint.com/:u:/r/sites/GerenciadeRegulacin/Shared%20Documents/General/2023/Regulaci%C3%B3n/SSPD%20MARZO/GNCB/Cundi.zip?csf=1&amp;web=1&amp;e=x0aMVq"/>
    <x v="1"/>
    <x v="0"/>
    <x v="1"/>
  </r>
  <r>
    <x v="38"/>
    <x v="0"/>
    <s v="Respuesta Requerimiento de información sobre la Revisión Periódica Obligatoria – RPO_x000a_Radicado No. 20232310848141"/>
    <d v="2023-03-10T00:00:00"/>
    <d v="2023-03-10T00:00:00"/>
    <s v="En atención al comunicado enunciado en el asunto, por medio del cual solicita información relacionada con el proceso de revisión periódica obligatoria, al 31 de diciembre de 2022"/>
    <m/>
    <s v="https://grupovanti.sharepoint.com/:b:/r/sites/GerenciadeRegulacin/Shared%20Documents/General/2023/Regulaci%C3%B3n/SSPD%20MARZO/GNCR/029-%20Respuesta%20requerimiento%20Informaci%C3%B3n%20RPO%202022_Gasnacer.pdf?csf=1&amp;web=1&amp;e=v7QeX5"/>
    <s v="https://grupovanti.sharepoint.com/:u:/r/sites/GerenciadeRegulacin/Shared%20Documents/General/2023/Regulaci%C3%B3n/SSPD%20MARZO/GNCR/Gasnacer.zip?csf=1&amp;web=1&amp;e=bo6irv"/>
    <x v="3"/>
    <x v="0"/>
    <x v="1"/>
  </r>
  <r>
    <x v="38"/>
    <x v="0"/>
    <s v="Respuesta Requerimiento de información sobre la Revisión Periódica Obligatoria – RPO"/>
    <d v="2023-03-10T00:00:00"/>
    <d v="2023-03-10T00:00:00"/>
    <s v="En atención al comunicado enunciado en el asunto, por medio del cual solicita información relacionada con el proceso de revisión periódica obligatoria, al 31 de diciembre de 2022"/>
    <m/>
    <m/>
    <s v="https://grupovanti.sharepoint.com/:u:/r/sites/GerenciadeRegulacin/Shared%20Documents/General/2023/Regulaci%C3%B3n/SSPD%20MARZO/GNCB/Cundi.zip?csf=1&amp;web=1&amp;e=UBPqFT"/>
    <x v="1"/>
    <x v="0"/>
    <x v="1"/>
  </r>
  <r>
    <x v="38"/>
    <x v="0"/>
    <s v="Respuesta Requerimiento de información sobre la Revisión Periódica Obligatoria – RPO_x000a_Radicado No. 20232310848101"/>
    <d v="2023-03-10T00:00:00"/>
    <d v="2023-03-10T00:00:00"/>
    <s v="En atención al comunicado enunciado en el asunto, por medio del cual solicita información relacionada con el proceso de revisión periódica obligatoria, al 31 de diciembre de 2022"/>
    <m/>
    <s v="https://grupovanti.sharepoint.com/:b:/r/sites/GerenciadeRegulacin/Shared%20Documents/General/2023/Regulaci%C3%B3n/SSPD%20MARZO/VANTI/027-%20Respuesta%20requerimiento%20Informaci%C3%B3n%20RPO%202022_Vanti.pdf?csf=1&amp;web=1&amp;e=UfmUJX"/>
    <s v="https://grupovanti.sharepoint.com/:u:/r/sites/GerenciadeRegulacin/Shared%20Documents/General/2023/Regulaci%C3%B3n/SSPD%20MARZO/VANTI/Vanti.zip?csf=1&amp;web=1&amp;e=s0nUfV"/>
    <x v="0"/>
    <x v="0"/>
    <x v="1"/>
  </r>
  <r>
    <x v="38"/>
    <x v="0"/>
    <s v="Respuesta Requerimiento de información sobre la Revisión Periódica Obligatoria – RPO_x000a_                Radicado No. 20232310848151"/>
    <d v="2023-03-10T00:00:00"/>
    <d v="2023-03-10T00:00:00"/>
    <s v="En atención al comunicado enunciado en el asunto, por medio del cual solicita información relacionada con el proceso de revisión periódica obligatoria, al 31 de diciembre de 2022"/>
    <m/>
    <s v="https://grupovanti.sharepoint.com/:b:/r/sites/GerenciadeRegulacin/Shared%20Documents/General/2023/Regulaci%C3%B3n/SSPD%20MARZO/GOR/030-%20Respuesta%20requerimiento%20Informaci%C3%B3n%20RPO%202022_Gasoriente.pdf?csf=1&amp;web=1&amp;e=emsg6c"/>
    <s v="https://grupovanti.sharepoint.com/:u:/r/sites/GerenciadeRegulacin/Shared%20Documents/General/2023/Regulaci%C3%B3n/SSPD%20MARZO/GOR/Gasoriente.zip?csf=1&amp;web=1&amp;e=qdjRSn"/>
    <x v="2"/>
    <x v="0"/>
    <x v="1"/>
  </r>
  <r>
    <x v="39"/>
    <x v="0"/>
    <s v=" Solicitud información Indicadores de Gestión Año 2022 -Resolución CREG 072 de 2002 -  Resolucion No.  20232310716991"/>
    <d v="2023-03-03T00:00:00"/>
    <d v="2023-03-03T00:00:00"/>
    <s v="Radicado No. 20232310716991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s v="E2023004101"/>
    <x v="3"/>
    <x v="0"/>
    <x v="1"/>
  </r>
  <r>
    <x v="39"/>
    <x v="0"/>
    <s v=" Solicitud información Indicadores de Gestión Año 2022 -Resolución CREG 072 de 2002 -  Resolucion No.  20232310717001"/>
    <d v="2023-03-04T00:00:00"/>
    <d v="2023-03-03T00:00:00"/>
    <s v="Radicado No. 20232310717001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s v="E2023004100"/>
    <x v="2"/>
    <x v="0"/>
    <x v="1"/>
  </r>
  <r>
    <x v="39"/>
    <x v="0"/>
    <s v=" Solicitud información Indicadores de Gestión Año 2022 -Resolución CREG 072 de 2002 -  Resolucion No. "/>
    <d v="2023-03-05T00:00:00"/>
    <d v="2023-03-03T00:00:00"/>
    <s v="Radicado No.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s v="E2023004098"/>
    <x v="4"/>
    <x v="0"/>
    <x v="1"/>
  </r>
  <r>
    <x v="39"/>
    <x v="0"/>
    <s v=" Solicitud información Indicadores de Gestión Año 2022 -Resolución CREG 072 de 2002 -  Resolucion No. 20232310716951"/>
    <d v="2023-03-06T00:00:00"/>
    <d v="2023-03-03T00:00:00"/>
    <s v="Radicado No. 20232310716951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m/>
    <x v="3"/>
    <x v="0"/>
    <x v="1"/>
  </r>
  <r>
    <x v="40"/>
    <x v="1"/>
    <s v="Vinculación Expediente CREG 2022 - 0063_x000a_Radicado CREG: E2023000552"/>
    <d v="2023-02-14T00:00:00"/>
    <d v="2023-02-14T00:00:00"/>
    <s v="copia del auto en donde se acepta solicitud de Vanti S.A._x000a_E.S.P. y se reconoce como parte interesada en la actuación iniciada por Transmetano_x000a_S.A. E.S.P., la cual consta en el expediente con número CREG 2022 – 0063."/>
    <s v="https://grupovanti.sharepoint.com/:b:/r/sites/GerenciadeRegulacin/Shared%20Documents/General/2023/Regulaci%C3%B3n/CREG%20MARZO/VANTI/S2023001048%20%2014-03.pdf?csf=1&amp;web=1&amp;e=Js7Mak"/>
    <m/>
    <m/>
    <x v="0"/>
    <x v="11"/>
    <x v="1"/>
  </r>
  <r>
    <x v="41"/>
    <x v="17"/>
    <s v=": Comentarios a &quot;ESTUDIO TÉCNICO PARA EL PLAN DE ABASTECIMIENTO DE GAS NATURAL 2020&quot;. Respuesta a radicado UPME 20221700165021."/>
    <d v="2023-01-13T00:00:00"/>
    <d v="2023-01-13T00:00:00"/>
    <m/>
    <s v="Regulación\07-01-2023\Carta cita UPME.pdf"/>
    <m/>
    <m/>
    <x v="0"/>
    <x v="13"/>
    <x v="1"/>
  </r>
  <r>
    <x v="41"/>
    <x v="1"/>
    <s v="Solicitud intervención tercero interesado actuación administrativa promovida por Transmetano S.A. E.S.P."/>
    <d v="2023-01-13T00:00:00"/>
    <d v="2023-01-13T00:00:00"/>
    <m/>
    <s v="Regulación\09-01-2023 Treceri interesado actuación adiministrativa Trabsmetano"/>
    <m/>
    <m/>
    <x v="0"/>
    <x v="13"/>
    <x v="1"/>
  </r>
  <r>
    <x v="41"/>
    <x v="1"/>
    <s v="Solicitud intervención tercero interesado actuación administrativa promovida por Promigas S.A. E.S.P."/>
    <d v="2023-01-13T00:00:00"/>
    <d v="2023-01-13T00:00:00"/>
    <m/>
    <s v="Regulación\10-01-2023  Tercero interesado actuación administrativa  Promigas S.A. E.S.P\Solicitud reconocimiento tercero Vanti - Promigas -10-01-2022.docx"/>
    <m/>
    <m/>
    <x v="0"/>
    <x v="13"/>
    <x v="1"/>
  </r>
  <r>
    <x v="42"/>
    <x v="16"/>
    <s v="Aplicación Decreto Nacional 1170 de 2015"/>
    <d v="2022-12-09T00:00:00"/>
    <d v="2023-08-15T00:00:00"/>
    <s v="REQUERIMIENTO / Residenciales a los cuales se les prestó el servicio -  valor facturado  de Enero a Diciembre de 2022 / Concurso Economico"/>
    <s v="https://grupovanti.sharepoint.com/:b:/r/sites/GerenciadeRegulacin/Shared%20Documents/General/2023/Regulaci%C3%B3n/SPD/9726985%20-%200%20SP_%20VANTI_SDP_CONCURSOECO_2023.pdf?csf=1&amp;web=1&amp;e=MIOjTr"/>
    <m/>
    <m/>
    <x v="0"/>
    <x v="0"/>
    <x v="3"/>
  </r>
  <r>
    <x v="43"/>
    <x v="0"/>
    <s v="Traslado por competencias, derecho de peticion, representante a a la camara Jennifer Pedraza."/>
    <d v="2023-01-17T00:00:00"/>
    <d v="2023-01-13T00:00:00"/>
    <s v="Remitir relación en formato Excel de las y de los trabajadores de la Secretaría_x000a_Distrital de Ambiente y otros requerimientos de informacion"/>
    <s v="https://grupovanti.sharepoint.com/sites/GerenciadeRegulacin/Shared%20Documents/General/2023/Regulación/01-01-2023%20DP-Jennfer%20Pedraza/DP%20Jennifer%20Pedraza.pdf"/>
    <s v="https://grupovanti.sharepoint.com/sites/GerenciadeRegulacin/Shared%20Documents/General/2023/Regulación/01-01-2023%20DP-Jennfer%20Pedraza/Dr%20Rodolfo%20Anaya%20A.pdf"/>
    <m/>
    <x v="0"/>
    <x v="0"/>
    <x v="1"/>
  </r>
  <r>
    <x v="43"/>
    <x v="1"/>
    <s v="Citación para notificar la liquidación oficial N° LO2022R105004_0082, de contribución especial Resolución 105004_22 a favor de la CREG para la vigencia 2022."/>
    <d v="2023-01-13T00:00:00"/>
    <d v="2023-01-13T00:00:00"/>
    <s v="CITACIÓN"/>
    <s v="Regulación\05-01-2023 Citación para notificar la liquidación GNCB\S2022007187.pdf"/>
    <m/>
    <s v="S2022007187"/>
    <x v="1"/>
    <x v="14"/>
    <x v="1"/>
  </r>
  <r>
    <x v="43"/>
    <x v="1"/>
    <s v="Citación para notificar la liquidación oficial N° LO2022R105004_0006, de contribución especial Resolución 105004_22 a favor de la CREG para la vigencia 2022."/>
    <d v="2023-02-16T00:00:00"/>
    <d v="2023-02-16T00:00:00"/>
    <s v="CITACIÓN"/>
    <s v="Regulación\04-01-2023 Citación para notificar la liquidación VANTI\S2022007111.pdf"/>
    <m/>
    <s v="S2022007111"/>
    <x v="0"/>
    <x v="14"/>
    <x v="1"/>
  </r>
  <r>
    <x v="43"/>
    <x v="1"/>
    <s v="Citación para notificar la liquidación oficial N° LO2022R105004_0017, de contribución especial Resolución 105004_22 a favor de la CREG para la vigencia 2022."/>
    <d v="2023-01-13T00:00:00"/>
    <d v="2023-01-13T00:00:00"/>
    <s v="CITACIÓN"/>
    <s v="Regulación\03-01-2023 Citación para notificar la liquidación GOR\S2022007122.pdf"/>
    <m/>
    <s v="S2022007122"/>
    <x v="2"/>
    <x v="14"/>
    <x v="1"/>
  </r>
  <r>
    <x v="43"/>
    <x v="1"/>
    <s v="Citación para notificar la liquidación oficial N° LO2022R105004_0016, de contribución especial Resolución 105004_22 a favor de la CREG para la vigencia 2022."/>
    <d v="2023-01-13T00:00:00"/>
    <d v="2023-01-13T00:00:00"/>
    <s v="CITACIÓN"/>
    <s v="Regulación\02-01-2023 Citación para notificar la liquidación GNCR\S2022007121.pdf"/>
    <m/>
    <s v="S2022007121"/>
    <x v="3"/>
    <x v="14"/>
    <x v="1"/>
  </r>
  <r>
    <x v="44"/>
    <x v="1"/>
    <s v="Decreto de pruebas dentro del Trámite de Recurso de Reposición interpuesto por VANTI S.A E.S.P. contra la Resolución CREG 502 014 de 2022. E historial de Recursos"/>
    <d v="2023-01-16T00:00:00"/>
    <d v="2022-12-22T00:00:00"/>
    <s v="Antecedentes (la comunicación en el asunto, S-2022-006175) // Expediente CREG 2020-0118 -- ( Radicado CREG E-2020-010584 -- la Comisión realizó un ejercicio de depuración de dichos gastos con_x000a_fundamento en lo dispuesto en el Anexo 10 de la Metodología contenida en las Resoluciones_x000a_CREG 202 de 2013, 138 de 2014, 090 y 132 de 2018, y 011 de 2020) // R1 22/12/22  CREG E-2022-015899 (Solicitud de ampliación del plazo otorgado mediante auto del 16 de diciembre de 2022, por un término de treinta (30) días hábiles adicionales al inicialmente otorgado) // Radicado CREG E-2020-010584 ( Comisión encuentra procedente la _x000a_ampliación del plazo para atender las pruebas decretadas + 30 dias habiles) // "/>
    <m/>
    <m/>
    <m/>
    <x v="0"/>
    <x v="0"/>
    <x v="1"/>
  </r>
  <r>
    <x v="17"/>
    <x v="0"/>
    <s v="Respuesta Radicado No. 20232310504851–Requerimiento de información tarifaria periodo diciembre de 2022 "/>
    <d v="2023-02-20T00:00:00"/>
    <d v="2023-02-20T00:00:00"/>
    <s v="Comentarios para cada uno de los puntos del comunicado"/>
    <m/>
    <s v="https://grupovanti.sharepoint.com/:b:/r/sites/GerenciadeRegulacin/Shared%20Documents/General/2023/Regulaci%C3%B3n/18/18-Respuesta%20SSPD%20Radicado%2020232310504851%20.pdf?csf=1&amp;web=1&amp;e=82XnXb"/>
    <m/>
    <x v="0"/>
    <x v="0"/>
    <x v="1"/>
  </r>
  <r>
    <x v="17"/>
    <x v="1"/>
    <s v="Respuesta al requerimiento con número deradicado S2022006175del 16de diciembre de 2022."/>
    <d v="2023-02-17T00:00:00"/>
    <d v="2023-02-17T00:00:00"/>
    <s v="El  documento  tiene  por  objetivo  presentar  una respuesta  amplia  y  suficiente  a  la solicitud de la CREG del origen, ubicación y justificación de algunas cuentas de costos y gastos de  la  actividad  de  distribución"/>
    <m/>
    <s v="https://grupovanti.sharepoint.com/:b:/r/sites/GerenciadeRegulacin/Shared%20Documents/General/2023/Regulaci%C3%B3n/17/2023.02.15%20-Respuesta%20AUTO%20de%20pruebas%20Vanti%20MCB%204.pdf?csf=1&amp;web=1&amp;e=Y157Og"/>
    <m/>
    <x v="0"/>
    <x v="0"/>
    <x v="1"/>
  </r>
  <r>
    <x v="45"/>
    <x v="11"/>
    <s v="Solicitud Información valor de consumo, consumo y total facturado serie 2014-2022"/>
    <d v="2022-10-25T00:00:00"/>
    <m/>
    <m/>
    <m/>
    <m/>
    <m/>
    <x v="0"/>
    <x v="0"/>
    <x v="2"/>
  </r>
  <r>
    <x v="45"/>
    <x v="11"/>
    <s v="INCREMENTO TARIFARIO DE LOS SERVICIOS PUBLICOS DOMICILIARIOS DE_x000a_ENERGIA, GAS NATURAL, AGUA Y ALCANTARILLADO."/>
    <d v="2022-10-26T00:00:00"/>
    <m/>
    <m/>
    <m/>
    <m/>
    <s v="Consejo de Bogota "/>
    <x v="0"/>
    <x v="0"/>
    <x v="2"/>
  </r>
  <r>
    <x v="46"/>
    <x v="0"/>
    <s v="Requerimiento de información tarifaria periodo agosto 2022, copia de las facturas_x000a_del pago de suministro y transporte de gas natural"/>
    <d v="2022-10-25T00:00:00"/>
    <d v="2022-10-25T00:00:00"/>
    <m/>
    <s v="20222314529971.pdf"/>
    <m/>
    <m/>
    <x v="0"/>
    <x v="0"/>
    <x v="1"/>
  </r>
  <r>
    <x v="46"/>
    <x v="18"/>
    <s v="Requerimiento de información Indicadores AEGR 28/10/2022"/>
    <d v="2022-10-24T00:00:00"/>
    <m/>
    <m/>
    <s v="M:\AUDITORIA AEGR\2022\SOLICITUD DE INFORMACIÓN No 1 AERG GRUPO VANTI 2022 (1).pdf"/>
    <m/>
    <m/>
    <x v="0"/>
    <x v="0"/>
    <x v="2"/>
  </r>
  <r>
    <x v="46"/>
    <x v="18"/>
    <s v="Requerimiento de información No. 1 - AEGR 2022 Grupo Vanti 04/11/2022"/>
    <d v="2022-11-04T00:00:00"/>
    <m/>
    <m/>
    <s v="M:\AUDITORIA AEGR\2022\SOLICITUD DE INFORMACIÓN No 1 AERG GRUPO VANTI 2022.pdf"/>
    <m/>
    <m/>
    <x v="0"/>
    <x v="0"/>
    <x v="2"/>
  </r>
  <r>
    <x v="46"/>
    <x v="0"/>
    <s v="Requerimiento de información tarifaria periodo agosto 2022, copia de las facturas_x000a_del pago de suministro y transporte de gas natural"/>
    <d v="2022-10-24T00:00:00"/>
    <d v="2022-10-24T00:00:00"/>
    <m/>
    <s v="147\20222314529971.pdf"/>
    <m/>
    <m/>
    <x v="0"/>
    <x v="0"/>
    <x v="1"/>
  </r>
  <r>
    <x v="47"/>
    <x v="1"/>
    <s v="Comentarios al proyecto de resolución CREG 702 008 de 2022"/>
    <d v="2022-10-24T00:00:00"/>
    <d v="2022-10-07T00:00:00"/>
    <s v="Comentarios al proyecto de resolución CREG 702 008 de 2022"/>
    <m/>
    <s v="145 - Actuación Administrativa I2022007103 Expedientes Gasnacer_vfinal.pdf"/>
    <m/>
    <x v="0"/>
    <x v="10"/>
    <x v="1"/>
  </r>
  <r>
    <x v="48"/>
    <x v="0"/>
    <s v="Respuesta Radicado No. 20222314222231 – Requerimiento de información cuenta suscriptor 62873273"/>
    <d v="2022-10-03T00:00:00"/>
    <d v="2022-10-02T00:00:00"/>
    <s v="Se solicita información en relación a facturación para el suscriptor 62873273,Vanti SA ESP realizó el ajuste en la facturación del mes de julio, el cual se confirmó al cliente mediante carta entregada del 05 de julio de 2022 "/>
    <s v="X:\CONSECUTIVOS\2022\Regulacion\143\20222314222231.pdf"/>
    <s v="X:\CONSECUTIVOS\2022\Regulacion\143\143-09-2022 Respuesta al requerimeinto 20222314222231.docx"/>
    <m/>
    <x v="1"/>
    <x v="0"/>
    <x v="1"/>
  </r>
  <r>
    <x v="49"/>
    <x v="0"/>
    <s v="Respuesta Radicado No. 20222314159701 – Requerimiento de información suspensión _x000a_del servicio en La Gloria, Cesar"/>
    <d v="2022-10-03T00:00:00"/>
    <d v="2022-09-30T00:00:00"/>
    <s v="Se solicita información relacionada con un evento de suspensión del servicio registrado en el municipio La Gloria del departamento del Cesar,1419 clientes que fueron afectados por la suspensión del servicio, indicando en cada caso la información solicitada en su requerimiento.a la fecha, el suministro del servicio en el municipio La _x000a_Gloria opera con normalidad. Se reitera que el servicio fue restablecido el día 18 de septiembre de 2022"/>
    <s v="X:\CONSECUTIVOS\2022\Regulacion\139\20222314159701 (1).pdf"/>
    <s v="X:\CONSECUTIVOS\2022\Regulacion\139\139-09-2022 Respuesta al requerimiento 20222314159701_JR.pdf"/>
    <m/>
    <x v="3"/>
    <x v="0"/>
    <x v="1"/>
  </r>
  <r>
    <x v="50"/>
    <x v="0"/>
    <s v="Respuesta Radicado No. 20222304029891 – Requerimiento de información calidad de la información cargada en el año 2021 al Sistema Único de Información – SUI."/>
    <d v="2022-09-30T00:00:00"/>
    <d v="2022-09-30T00:00:00"/>
    <s v="Se solicita información en relación con calidad de la información cargada en el año 2021 al Sistema Único de Información, _x000a_De aprobarse la presente solicitud, se cargará la información correspondiente cumpliendo con el compromiso de VANTI S.A. E.S.P. de garantizar la calidad de la información reportada al SUI."/>
    <s v="X:\CONSECUTIVOS\2022\Regulacion\138\SUI.pdf"/>
    <s v="X:\CONSECUTIVOS\2022\Regulacion\138\138-09-2022 Respuesta al requerimiento Radicado No. 20222304029891_JR.docx"/>
    <m/>
    <x v="0"/>
    <x v="8"/>
    <x v="1"/>
  </r>
  <r>
    <x v="51"/>
    <x v="0"/>
    <s v="Respuesta Radicado No. 20222314175091– Requerimiento de información tarifaria _x000a_periodo julio de 2022"/>
    <d v="2022-10-04T00:00:00"/>
    <d v="2022-09-26T00:00:00"/>
    <s v="Se solicita información en relación con las facturas de suministro y transporte e información tarifaria para el periodo de julio de 2022, se enviaron las facturas siporte Además, se adicionó la hoja “Notas Empresa” con información adicional que consideramos _x000a_pertinente para sus actividades de validación de información"/>
    <s v="X:\CONSECUTIVOS\2022\Regulacion\137\20222314175091.pdf"/>
    <s v="X:\CONSECUTIVOS\2022\Regulacion\137\137 -Respuesta SSPD Radicado 20222314175091 Vanti_jul.pdf"/>
    <m/>
    <x v="0"/>
    <x v="0"/>
    <x v="1"/>
  </r>
  <r>
    <x v="52"/>
    <x v="1"/>
    <s v="RESPUESTA NUMERO DE RADICADO: S2022004104 - RESPUESTA CORREO _x000a_RADICADO CREG E2022010490 DEL 15 DE SEPTIEMBRE 2022"/>
    <d v="2022-09-26T00:00:00"/>
    <d v="2022-09-26T00:00:00"/>
    <s v="Las contribuciones deberán ser pagadas dentro del plazo señalado en el Parágrafo anterior, descontando la suma consignada como anticipo. Al respecto informamos, que Dado que el acto liquidatario quedó en firme hasta el mes de septiembre de 2022 no se generó el pago del anticipo, no obstante este será cancelado una vez contemos _x000a_con la liquidación final de la contribución 2022."/>
    <m/>
    <s v="Respuesta Numero de radicado S2022003386 - 2022-08-26 Requerimiento e inicio del cobro persuasivo 1-2022 saldo de cartera de contribución especial Res213_21.pdf"/>
    <m/>
    <x v="0"/>
    <x v="0"/>
    <x v="1"/>
  </r>
  <r>
    <x v="53"/>
    <x v="1"/>
    <s v="Respuesta a la solicitud de la Actuación Administrativa iniciada I2022007106"/>
    <d v="2022-10-04T00:00:00"/>
    <d v="2022-10-04T00:00:00"/>
    <s v="las estructuras orientadoras y los modelos simplificados para las unidades de servicio _x000a_de distribución y comercialización de gas natural. Además, con el fin de dar una mejor precisión _x000a_a los costos a ser asignados a cada actividad, la norma incluye la Librería de Actividades Servicio _x000a_Gas Combustible. Es con base en este marco conceptual que la empresa reporta los costos, _x000a_directos e indirectos, tanto a la SSPD como a la CREG cuando ésta lo solicita, tal como es el caso _x000a_de la Circular 065 de 2017"/>
    <s v="144 - Actuación Administrativa I2022007106 Expediente Gasoriente_vfinal.pdf"/>
    <s v="79_05_2023_RTA GOR_144 - Actuación Administrativa I2022007106 Expediente Gasoriente_vfinal"/>
    <m/>
    <x v="2"/>
    <x v="8"/>
    <x v="1"/>
  </r>
  <r>
    <x v="53"/>
    <x v="1"/>
    <s v="Respuesta a la solicitud de la Actuación Administrativa iniciada I2022007103"/>
    <d v="2022-10-04T00:00:00"/>
    <d v="2022-10-04T00:00:00"/>
    <s v="las estructuras orientadoras y los modelos simplificados para las unidades de servicio _x000a_de distribución y comercialización de gas natural. Además, con el fin de dar una mejor precisión _x000a_a los costos a ser asignados a cada actividad, la norma incluye la Librería de Actividades Servicio _x000a_Gas Combustible. Es con base en este marco conceptual que la empresa reporta los costos, _x000a_directos e indirectos, tanto a la SSPD como a la CREG cuando ésta lo solicita, tal como es el caso _x000a_de la Circular 065 de 2017"/>
    <m/>
    <s v="028-2022 Vanti CREG Solicitud de tercero interesado- 099-2021\028-2022 Vanti CREG Solicitud de tercero interesado- 099-2021.pdf"/>
    <m/>
    <x v="3"/>
    <x v="8"/>
    <x v="1"/>
  </r>
  <r>
    <x v="54"/>
    <x v="0"/>
    <s v="Respuesta Radicado No. 20222314120721– Requerimiento de información estación de_x000a_servicio EDS Puerta del So"/>
    <d v="2022-09-21T00:00:00"/>
    <d v="2022-09-20T00:00:00"/>
    <s v="Se solicita información en relación. la atención a estas emergencias quedó registrado bajo los eventos C102060963, C102086543 y C102064926. Se adjunta a este comunicado. Con relación a esta situación, la empresa Vanti S.A. ESP dentro de acuerdos realizados con la _x000a_comunidad ofreció pagar los estudios a fin de determinar el origen de los olores ofensivos acorde a las solicitudes del Colegio Departamental Sabio Mutis_x000a_con las posibles fugas cercanos a la Institución Educativa Departamental Sabio Mutis del _x000a_Municipio de La Mesa – Cundinamarca"/>
    <s v="X:\CONSECUTIVOS\2022\Regulacion\132\20222314120721.pdf"/>
    <s v="X:\CONSECUTIVOS\2022\Regulacion\132\132-09-2022 -Respuesta SSPD Radicado  20222314120721.docx"/>
    <m/>
    <x v="0"/>
    <x v="0"/>
    <x v="1"/>
  </r>
  <r>
    <x v="55"/>
    <x v="0"/>
    <s v="Respuesta Radicado No. 20222304046311– Requerimiento de información medidores "/>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4\134-09-2022 -Respuesta SSPD Radicado  20222304046311.docx"/>
    <m/>
    <x v="0"/>
    <x v="0"/>
    <x v="1"/>
  </r>
  <r>
    <x v="55"/>
    <x v="0"/>
    <s v="Respuesta Radicado No. 20222304046311– Requerimiento de información medidores "/>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4\134-09-2022 -Respuesta SSPD Radicado  20222304046311.docx"/>
    <m/>
    <x v="3"/>
    <x v="0"/>
    <x v="1"/>
  </r>
  <r>
    <x v="55"/>
    <x v="0"/>
    <s v="Respuesta Radicado No. 20222304046311– Requerimiento de información medidores "/>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5\135-09-2022 -Respuesta SSPD Radicado  20222304046311.docx"/>
    <m/>
    <x v="2"/>
    <x v="0"/>
    <x v="1"/>
  </r>
  <r>
    <x v="55"/>
    <x v="0"/>
    <s v="Respuesta Radicado No. 20222304046311– Requerimiento de información medidores "/>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6\136-09-2022 -Respuesta SSPD Radicado  20222304046311.docx"/>
    <m/>
    <x v="1"/>
    <x v="0"/>
    <x v="1"/>
  </r>
  <r>
    <x v="56"/>
    <x v="17"/>
    <s v="Comentarios de Vanti a la versión 2 de los DSI publicados a través de la circular externa 071 de 2022. _x000a_SELECCIÓN DE UN INVERSIONISTA PARA LA PRESTACIÓN DEL SERVICIO DE ALMACENAMIENTO DE GNL, _x000a_REGASIFICACIÓN, TRANSPORTE DE GAS NATURALY SERVICIOS ASOCIADOS DE LA INFRAESTRUCTURA DE _x000a_IMPORTACIÓN DE GAS_x000a_DEL PACÍFICO."/>
    <d v="2022-09-23T00:00:00"/>
    <d v="2022-09-23T00:00:00"/>
    <s v="Como comentario general,e para _x000a_varios de los tramos de gasoductos las demandas proyectadas son considerablemente inferiores a las que _x000a_se han observado en los últimos años y a las proyecciones de crecimiento que tenemos las empresas. Este _x000a_hecho hace que sea de bastante relevancia, para poder hacer un análisis integral poder conocer los supuestos en detalle que ha utilizado el transportador para realizar sus proyecciones."/>
    <s v="X:\CONSECUTIVOS\2022\Regulacion\125\Circular068-2022.pdf"/>
    <s v="X:\CONSECUTIVOS\2022\Regulacion\123-08-2022 Verificación tarifaria junio 2022\123-08-2022 Comentarios pliegos Planta del Pacífico.pdf"/>
    <s v="X:\CONSECUTIVOS\2022\Regulacion\123-08-2022 Verificación tarifaria junio 2022\Requerimiento verificación tarifaria 20222312934301_abr.xlsx"/>
    <x v="0"/>
    <x v="15"/>
    <x v="1"/>
  </r>
  <r>
    <x v="56"/>
    <x v="17"/>
    <s v="Comentarios sobre proyecciones de demanda Circular CREG 068 de 2022: “PUBLICACIÓN DE LAS _x000a_DEMANDAS ESPERADAS DE CAPACIDAD Y DE VOLUMEN, ASÍ COMO DE LA CAPACIDAD TOTAL _x000a_CONTRATADA QUE DECLARÓ TGI S.A. E.S.P., DE ACUERDO CON EL PROCEDIMIENTO PREVISTO EN LA RESOLUCIÓN CREG 175 DE 2021”"/>
    <d v="2022-09-23T00:00:00"/>
    <d v="2022-09-23T00:00:00"/>
    <s v="Como comentario general,e para _x000a_varios de los tramos de gasoductos las demandas proyectadas son considerablemente inferiores a las que _x000a_se han observado en los últimos años y a las proyecciones de crecimiento que tenemos las empresas. Este _x000a_hecho hace que sea de bastante relevancia, para poder hacer un análisis integral poder conocer los supuestos en detalle que ha utilizado el transportador para realizar sus proyecciones."/>
    <s v="X:\CONSECUTIVOS\2022\Regulacion\125\Circular068-2022.pdf"/>
    <s v="X:\CONSECUTIVOS\2022\Regulacion\125\125-08-2022 Comentarios Circular 68 2022.docx"/>
    <s v="Circular CREG 068 de 2022"/>
    <x v="0"/>
    <x v="15"/>
    <x v="1"/>
  </r>
  <r>
    <x v="57"/>
    <x v="11"/>
    <s v="Demanda Promioriente"/>
    <d v="2022-08-24T00:00:00"/>
    <d v="2022-08-24T00:00:00"/>
    <s v="Si bien la declaración de producción de Ecopetrol para el campo Gibraltar muestra que dicho campo deja de producir gas a partir del año 2029, lo que se observa en la prospectividad de la zona es que aún existen recursos importantes de gas natural por ser descubiertos y desarollados en esta zona que guarda similitud geológica con la zona de producción del piedemonte. En este sentido, no es coherente pronosticar un agotamiento abrupto en la fuente Gibraltar, y por ende, tampoco es coherente proyectar que este tramo no tendrá demanda a partir de 2029. Esto llevaría a incrementar la tarifa en este tramo, siendo aún más costosa de lo que es hoy en día, e inviabilizando cualquier nuevo gas que eventualmente pueda ser desarrollado en esta zona del país."/>
    <s v="Comentarios_demandasPromioriente.xlsx"/>
    <m/>
    <m/>
    <x v="2"/>
    <x v="10"/>
    <x v="1"/>
  </r>
  <r>
    <x v="57"/>
    <x v="11"/>
    <s v="De acuerdo con el desarrollo hidrocarburífero que tiene el país proveniente de diversas fuentes en Ballena, no es congruente que se proyecte una disminución de la demanda en este tramo. Vale la pena observar que para el tramo Ballena-Barranca, TGI sí proyecta un aumento de demanda en este tramo a partir de 2028. En este sentido, el tramo Ballena-La Mami debería converger con los supuestos que el otro transportador está utilizando. Si el gas se encuentra en Ballena, va a fluir hacia la costa como para el interior._x000a__x000a_Proyectar una demanda tan baja hará que la tarifa se incremente y se pierdan los esfuerzos por interconectar los mercados costa e interior del país."/>
    <d v="2022-08-24T00:00:00"/>
    <d v="2022-08-24T00:00:00"/>
    <s v="Promigas"/>
    <s v="Comentarios_demandasPromigas.xlsx"/>
    <m/>
    <m/>
    <x v="0"/>
    <x v="10"/>
    <x v="1"/>
  </r>
  <r>
    <x v="57"/>
    <x v="1"/>
    <s v="Comentarios sobre proyecciones de demanda Circular CREG 072 de 2022: “PUBLICACIÓN DE LAS DEMANDAS ESPERADAS DE CAPACIDAD Y DE VOLUMEN, ASÍ COMO DE LA CAPACIDAD TOTAL CONTRATADA QUE DECLARÓ PROMIORIENTE S.A. E.S.P., DE ACUERDO CON EL PROCEDIMIENTO PREVISTO EN LA RESOLUCIÓN CREG 175 DE 2021”_x000a_"/>
    <d v="2022-08-24T00:00:00"/>
    <d v="2022-08-24T00:00:00"/>
    <s v="definir demandas por tramos con la incertidumbre que genera la declaración de producción y las opciones de importación.  Es por lo anterior, y tal como lo prevé la Resolución CREG 175 de 2021 que pedimos se estudie la aplicación de un escenario general de agregación de tramos, el cual minimizaría el impacto que puede tener para la demanda las distorsiones que generan las proyecciones conservadoras por parte de los transportadores. De esta forma se observará el beneficio que tiene migrar hacia ese esquema que reducirá la complejidad de aplicación e irá en pro de los usuarios finales."/>
    <s v="Comentarios Circu-lar 72-2022_DemandaPromioriente.pdf"/>
    <m/>
    <m/>
    <x v="0"/>
    <x v="10"/>
    <x v="1"/>
  </r>
  <r>
    <x v="58"/>
    <x v="0"/>
    <s v="Respuesta Radicado No. 20222313558151 – Requerimiento de información por evento en Campo Apiay de suministro de gas. "/>
    <d v="2022-08-26T00:00:00"/>
    <d v="2022-08-25T00:00:00"/>
    <s v="Se solicita información relacionada conde un evento de suministro de gas por fuera de las condiciones RUT desde el campo de producción Apiay. no se tiene contrato de suministro de fuente APIAY. Nuestros contratos de suministro son de fuente Cusiana/Cupiagua. la demanda de Bogotá fue atendida con normalidad."/>
    <m/>
    <s v="X:\CONSECUTIVOS\2022\Regulacion\129\129-08-2022 Respuesta al requierimiento 20222313558151 por evento en Campo Apiay.docx"/>
    <m/>
    <x v="0"/>
    <x v="0"/>
    <x v="1"/>
  </r>
  <r>
    <x v="59"/>
    <x v="0"/>
    <s v="Respuesta Radicado No. 20222313579771 – Requerimiento de información Calidad de la información _x000a_cargada en el año 2021 al Sistema Único de Información -SUI"/>
    <d v="2022-08-25T00:00:00"/>
    <d v="2022-08-25T00:00:00"/>
    <s v="Se solicita información en relación con Calidad de la información cargada en el año 2021 al Sistema Único de Información -SUI de acuerdo con los lineamientos _x000a_establecidos en la Circular Conjunta CREG -SSPD No -01 de 2006 y en la resolución CREG 100 de 2003"/>
    <s v="X:\CONSECUTIVOS\2022\Regulacion\128\20222313579771.pdf"/>
    <s v="X:\CONSECUTIVOS\2022\Regulacion\126\126-08-2022 Respuesta al requerimeinto 20222313581611.docx"/>
    <s v="resolución CREG 100 de 2003"/>
    <x v="1"/>
    <x v="0"/>
    <x v="1"/>
  </r>
  <r>
    <x v="59"/>
    <x v="0"/>
    <s v="Respuesta Radicado No. 20222313579771 – Requerimiento de información Calidad de la información _x000a_cargada en el año 2021 al Sistema Único de Información -SUI"/>
    <d v="2022-08-25T00:00:00"/>
    <d v="2022-08-25T00:00:00"/>
    <s v="Se solicita información en relación con Calidad de la información cargada en el año 2021 al Sistema Único de Información -SUI de acuerdo con los lineamientos _x000a_establecidos en la Circular Conjunta CREG -SSPD No -01 de 2006 y en la resolución CREG 100 de 2003"/>
    <s v="X:\CONSECUTIVOS\2022\Regulacion\128\20222313579771.pdf"/>
    <s v="X:\CONSECUTIVOS\2022\Regulacion\127\127-08-2022 Respuesta al requerimiento 20222313579391.docx"/>
    <s v="resolución CREG 100 de 2003"/>
    <x v="2"/>
    <x v="0"/>
    <x v="1"/>
  </r>
  <r>
    <x v="59"/>
    <x v="0"/>
    <s v="Respuesta Radicado No. 20222313579771 – Requerimiento de información Calidad de la información _x000a_cargada en el año 2021 al Sistema Único de Información -SUI"/>
    <d v="2022-08-25T00:00:00"/>
    <d v="2022-08-25T00:00:00"/>
    <s v="Se solicita información en relación con Calidad de la información cargada en el año 2021 al Sistema Único de Información -SUI de acuerdo con los lineamientos _x000a_establecidos en la Circular Conjunta CREG -SSPD No -01 de 2006 y en la resolución CREG 100 de 2003"/>
    <s v="X:\CONSECUTIVOS\2022\Regulacion\128\20222313579771.pdf"/>
    <s v="X:\CONSECUTIVOS\2022\Regulacion\128\128-08-2022 Respuesta al requerimiento 20222313579771.pdf"/>
    <s v="resolución CREG 100 de 2003"/>
    <x v="1"/>
    <x v="0"/>
    <x v="1"/>
  </r>
  <r>
    <x v="60"/>
    <x v="0"/>
    <s v="Respuesta Radicado No. 20222313510581 – Requerimiento de información por suspensiones en el servicio de gas natural en Bogotá."/>
    <d v="2022-08-19T00:00:00"/>
    <d v="2022-08-16T00:00:00"/>
    <s v="Se adjunta a este comunicado, soporte del evento y formato de atención de la emergencia. Cabe resaltar _x000a_que la información fue reportada en el reporte T2 RESPUESTA SERVICIO TECNICO del mes de julio de 2022, se dispone de la línea de atención telefónica de emergencias las 24 horas, los 365 días _x000a_del año para informar casos de emergencias como fugas, intoxicación, roturas de la red, incendios y _x000a_explosiones asociadas al uso de gas natural."/>
    <m/>
    <s v="118\118-08-2022 Respuesta al requierimiento 20222313510581 suspensiones en el servicio de gas natural en Bogotá_.docx"/>
    <s v="Radicación al correo de servicio al cliente Respuesta tardia "/>
    <x v="0"/>
    <x v="0"/>
    <x v="1"/>
  </r>
  <r>
    <x v="61"/>
    <x v="0"/>
    <s v="Respuesta Radicado No. 20222313386021 – Requerimiento de información factor de _x000a_corrección cuenta suscriptor 63255054"/>
    <d v="2022-07-18T00:00:00"/>
    <d v="2022-08-08T00:00:00"/>
    <s v="Se adjunta a este comunicado, soporte del evento y formato de atención de la emergencia. Cabe resaltar _x000a_que la información fue reportada en el reporte T2 RESPUESTA SERVICIO TECNICO del mes de julio de 2022, se dispone de la línea de atención telefónica de emergencias las 24 horas, los 365 días _x000a_del año para informar casos de emergencias como fugas, intoxicación, roturas de la red, incendios y _x000a_explosiones asociadas al uso de gas natural."/>
    <m/>
    <s v="117\117-08-2022 Respuesta al requerimeinto 20222313389851.pdf"/>
    <s v="Radicación al correo de servicio al cliente Respuesta tardia "/>
    <x v="1"/>
    <x v="0"/>
    <x v="3"/>
  </r>
  <r>
    <x v="62"/>
    <x v="0"/>
    <s v="Respuesta Radicado No. 20222313390091– Requerimiento de información tarifaria _x000a_periodo mayo de 2022"/>
    <d v="2022-07-28T00:00:00"/>
    <d v="2022-07-27T00:00:00"/>
    <s v="Se solicita información en relación con las facturas de suministro y transporte e información tarifaria para el periodo de mayo de 2022,e consideramos _x000a_pertinente para sus actividades de validación de información, de igual manera, en la plantilla_x000a_donde se reportó la información de suministro y transporte fueron incluidas nuevas columnas _x000a_con información adicional que sirva de apoyo para su análisis."/>
    <s v="112-07-2022 Respuesta SSPD - Verifiación tarifaria mayo\may\20222313390091.pdf"/>
    <s v="112-07-2022 Respuesta SSPD - Verifiación tarifaria mayo\may\112 -Respuesta SSPD Radicado 20222313390091 Vanti_may.pdf"/>
    <m/>
    <x v="0"/>
    <x v="0"/>
    <x v="1"/>
  </r>
  <r>
    <x v="63"/>
    <x v="1"/>
    <s v="Comentarios Vanti a la Resolución 702 005 de 2022"/>
    <d v="2022-07-19T00:00:00"/>
    <d v="2022-07-19T00:00:00"/>
    <s v="Insistimos en que conforme al principio de Equidad debe darse un trato igual a los iguales y desigual a los desiguales, esto es, que todas las personas que se coloquen en el mismo supuesto jurídico de causación, deben de atender a su obligación de contribuir en los mismos términos. Así, todas las empresas vigiladas por la SSPD, deben recibir igual trato frente a la determinación de sus deberes ante la entidad, y esta debe proceder en consecuencia de cara a la recuperación de los costos de los servicios que les presten o participación en los beneficios que les proporcionen a los prestadores."/>
    <m/>
    <s v="108-06-2022 Carta Vanti comentarios CREG 702 005 enviar\108-06-2022 Carta Vanti comentarios CREG 702 005 enviar.pdf"/>
    <m/>
    <x v="0"/>
    <x v="15"/>
    <x v="1"/>
  </r>
  <r>
    <x v="64"/>
    <x v="1"/>
    <s v=": Respuesta radicado S-2022-002241 Reporte de información de gastos AOM"/>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19\119 - Respuesta radicado S-2022-002247 Reporte de información de gastos AOM_GOR.pdf"/>
    <m/>
    <x v="2"/>
    <x v="14"/>
    <x v="1"/>
  </r>
  <r>
    <x v="64"/>
    <x v="1"/>
    <s v=": Respuesta radicado S-2022-002241 Reporte de información de gastos AOM"/>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20\120 - Respuesta Reporte de información de gastos AOM_Cundi.pdf"/>
    <m/>
    <x v="3"/>
    <x v="14"/>
    <x v="1"/>
  </r>
  <r>
    <x v="64"/>
    <x v="1"/>
    <s v=": Respuesta radicado S-2022-002241 Reporte de información de gastos AOM"/>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21\121 - Respuesta radicado S-2022-002241 Reporte de información de gastos AOM_Vanti.pdf"/>
    <m/>
    <x v="0"/>
    <x v="14"/>
    <x v="1"/>
  </r>
  <r>
    <x v="64"/>
    <x v="1"/>
    <s v="Reporte de información de gastos AOM"/>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22\122 - Respuesta Reporte de información de gastos AOM_Gasnacer.pdf"/>
    <m/>
    <x v="1"/>
    <x v="15"/>
    <x v="1"/>
  </r>
  <r>
    <x v="65"/>
    <x v="1"/>
    <s v="Solicitud de aclaración Artículo 17 de la Resolución CREG 102  003 de 2022 "/>
    <d v="2022-06-21T00:00:00"/>
    <d v="2022-06-21T00:00:00"/>
    <s v="Solicitamos a la CREG, bajo el entendimiento y premisa obvia de que el hecho de poder efectuar el cálculo de dicho costo a trasladar vía tarifa, corresponde a que efectivamente las contribuciones adicionales años 2020 y 2021 se hayan pagado, aclarar que el cálculo del costo mensual de la Contribución Adicional de que trata el Artículo 314 de la Ley 1955 de 2019, corresponderá para el primer año de aplicación del cargo, a la contribución adicional liquidada, ejecutoriada y pagada respecto del año 2020; y para el segundo año, a la liquidada, ejecutoriada y pagada respecto del año 2021. "/>
    <s v="107-06-2022 Solicitud de aclaración Artículo 17 de la Resolución CREG 102  003 de 2022\Creg102-003.pdf"/>
    <s v="107-06-2022 Solicitud de aclaración Artículo 17 de la Resolución CREG 102  003 de 2022\107-06-2022 Solicitud de aclaración Artículo 17 de la Resolución CREG 102  003 de 2022.docx"/>
    <m/>
    <x v="0"/>
    <x v="15"/>
    <x v="1"/>
  </r>
  <r>
    <x v="66"/>
    <x v="19"/>
    <s v="AERG"/>
    <d v="2022-06-17T00:00:00"/>
    <d v="2022-06-17T00:00:00"/>
    <s v="Con relación a su evaluación correspondiente a la Auditoría Externa de Gestión y Resultados de Vanti S.A. E.S.P., por el año terminado al 31 de diciembre de 2021, confirmamos a nuestro leal saber y entender, a la fecha de esta carta"/>
    <m/>
    <s v="102 - Carta de manifestación AEGR 2021_Vanti\102 - Carta de manifestación AEGR 2021_Vanti.docx"/>
    <m/>
    <x v="0"/>
    <x v="14"/>
    <x v="1"/>
  </r>
  <r>
    <x v="66"/>
    <x v="19"/>
    <s v="AERG"/>
    <d v="2022-06-17T00:00:00"/>
    <d v="2022-06-17T00:00:00"/>
    <s v="Con relación a su evaluación correspondiente a la Auditoría Externa de Gestión y Resultados de Vanti S.A. E.S.P., por el año terminado al 31 de diciembre de 2021, confirmamos a nuestro leal saber y entender, a la fecha de esta carta"/>
    <m/>
    <s v="103 - Carta de manifestación AEGR 2021_Gasoriente\103 - Carta de manifestación AEGR 2021_Gasoriente.docx"/>
    <m/>
    <x v="2"/>
    <x v="14"/>
    <x v="1"/>
  </r>
  <r>
    <x v="66"/>
    <x v="19"/>
    <s v="AERG"/>
    <d v="2022-06-17T00:00:00"/>
    <d v="2022-06-17T00:00:00"/>
    <s v="Con relación a su evaluación correspondiente a la Auditoría Externa de Gestión y Resultados de Vanti S.A. E.S.P., por el año terminado al 31 de diciembre de 2021, confirmamos a nuestro leal saber y entender, a la fecha de esta carta"/>
    <m/>
    <s v="104 - Carta de manifestación AEGR 2021_Cundi\104 - Carta de manifestación AEGR 2021_Cundi.docx"/>
    <m/>
    <x v="1"/>
    <x v="14"/>
    <x v="1"/>
  </r>
  <r>
    <x v="66"/>
    <x v="19"/>
    <s v="AERG"/>
    <d v="2022-06-17T00:00:00"/>
    <d v="2022-06-17T00:00:00"/>
    <s v="Con relación a su evaluación correspondiente a la Auditoría Externa de Gestión y Resultados de Vanti S.A. E.S.P., por el año terminado al 31 de diciembre de 2021, confirmamos a nuestro leal saber y entender, a la fecha de esta carta"/>
    <m/>
    <s v="105 - Carta de manifestación AEGR 2021_Gasnacer\105 - Carta de manifestación AEGR 2021_Gasnacer.docx"/>
    <m/>
    <x v="3"/>
    <x v="14"/>
    <x v="1"/>
  </r>
  <r>
    <x v="67"/>
    <x v="0"/>
    <s v=" Comentarios al proyecto de resolución tarifa de la contribución especial para el año 2022 "/>
    <d v="2022-06-30T00:00:00"/>
    <d v="2022-06-30T00:00:00"/>
    <s v="En relación con el proyecto de resolución por la cual se establece el monto de la tarifa de la contribución _x000a_especial para el año 2021 a la cual se encuentran sujetos los prestadores de servicios públicos domiciliarios _x000a_y/o quienes desarrollen las actividades complementarias a dichos servicios, definidas en las leyes 142 y _x000a_143 de 1994, nos permitimos manifestar los siguientes comentarios"/>
    <m/>
    <s v="109-06-2022 Comentarios al proyecto de resolución tarifa de la contribución especial para el año 2022\Comentarios Resolución contribuciones 2022 sspd.pdf"/>
    <m/>
    <x v="0"/>
    <x v="15"/>
    <x v="1"/>
  </r>
  <r>
    <x v="68"/>
    <x v="0"/>
    <s v="Comentarios al proyecto de resolución tarifa de la contribución especial para el año 2022 "/>
    <d v="2022-07-19T00:00:00"/>
    <d v="2022-07-19T00:00:00"/>
    <s v="se establece el monto de la tarifa de la contribución especial para el año 2021 a la cual se encuentran sujetos los prestadores de servicios públicos domiciliarios y/o quienes desarrollen las actividades complementarias a dichos servicios, definidas en las leyes 142 y 143 de 1994, nos permitimos manifestar los siguientes comentarios."/>
    <m/>
    <s v="111\111-06-2022 Comentarios al proyecto de resolución tarifa de la contribución especial para el año 2022.docx"/>
    <m/>
    <x v="0"/>
    <x v="15"/>
    <x v="1"/>
  </r>
  <r>
    <x v="69"/>
    <x v="2"/>
    <s v="Comentarios Grupo Vanti Proyecto de resolución &quot;Por la cual se solicita la adopción de medidas en _x000a_relación con la Oferta Pública de Cantidades de GLP para el segundo semestre de 2022&quot;"/>
    <d v="2022-06-09T00:00:00"/>
    <d v="2022-06-09T00:00:00"/>
    <s v="Ecopetrol es el agente más grande en los mercados mayoristas de GLP y Gas Natural, sin embargo, se está procurando una reducción de precios, solamente en el mercado de GLP. En este sentido, solicitamos que se revisen las señales regulatorias que se están dando, para que se continúe con la política exitosa de trato equitativo de estos dos energéticos, complementarios y en competencia, que ha tenido el gobierno hasta ahora"/>
    <m/>
    <s v="092-06-2022 Comentarios Grupo Vanti Proyecto de resolución Por la cual se solicita la adopción de medidas en relación con la Oferta Publica de Cantidades de GLP para el segundo semestre de 2022"/>
    <m/>
    <x v="0"/>
    <x v="15"/>
    <x v="1"/>
  </r>
  <r>
    <x v="70"/>
    <x v="0"/>
    <s v=" Respuesta Radicado No. 20222312756431 – Requerimiento de información estación de servicio EDS Puerta del Sol."/>
    <d v="2022-08-13T00:00:00"/>
    <d v="2022-08-13T00:00:00"/>
    <s v="se solicita información en relación con la visita realizada a las instalaciones de la estación de servicio EDS Puerta del Sol."/>
    <s v="093-06-2022 -Respuesta SSPD Radicado 20222312756431 EDS Puerta del Sol\120222312756431_00001.pdf"/>
    <s v="093-06-2022 -Respuesta SSPD Radicado 20222312756431 EDS Puerta del Sol\093-06-2022 -Respuesta SSPD Radicado 20222312756431 EDS Puerta del Sol.docx"/>
    <m/>
    <x v="0"/>
    <x v="0"/>
    <x v="1"/>
  </r>
  <r>
    <x v="70"/>
    <x v="1"/>
    <s v="Criterios reporte de información en Apligas para expedientes de comercialización de Vanti S.A. E.S.P. "/>
    <d v="2022-06-14T00:00:00"/>
    <d v="2022-06-14T00:00:00"/>
    <s v=" Comunicación aclarando los criterios que usamos para el reporte de información. se realiza el cargue de las plantillas por cada empresa con la información de cada mercado por separado."/>
    <m/>
    <s v="094-06-2022-Criterios reporte de información en Apligas para expedientes de comercialización de Vanti S.A. E.S.P\Carta CREG Apligas Vanti.docx"/>
    <m/>
    <x v="0"/>
    <x v="15"/>
    <x v="1"/>
  </r>
  <r>
    <x v="70"/>
    <x v="1"/>
    <s v="Criterios reporte de información en Apligas para expedientes de comercialización de Gas Natural del Oriente S.A. E.S.P. "/>
    <d v="2022-06-14T00:00:00"/>
    <d v="2022-06-14T00:00:00"/>
    <s v=" Comunicación aclarando los criterios que usamos para el reporte de información. se realiza el cargue de las plantillas por cada empresa con la información de cada mercado por separado."/>
    <m/>
    <s v="095-06-2022 Criterios reporte de información en Apligas para expedientes de comercialización de Gas Natural del Oriente S.A. E.S.P\Carta CREG Apligas Gasoriente.docx"/>
    <m/>
    <x v="2"/>
    <x v="15"/>
    <x v="1"/>
  </r>
  <r>
    <x v="70"/>
    <x v="1"/>
    <s v="Criterios reporte de información en Apligas para expedientes de comercialización de Gas Natural del Cesar S.A. E.S.P. _x000a_"/>
    <d v="2022-06-14T00:00:00"/>
    <d v="2022-06-14T00:00:00"/>
    <s v=" Comunicación aclarando los criterios que usamos para el reporte de información. se realiza el cargue de las plantillas por cada empresa con la información de cada mercado por separado."/>
    <m/>
    <s v="096-06-2022- Criterios reporte de información en Apligas para expedientes de comercialización de Gas Natural del Cesar S.A. E.S.P\Carta CREG Apligas Gasnacer.docx"/>
    <m/>
    <x v="3"/>
    <x v="15"/>
    <x v="1"/>
  </r>
  <r>
    <x v="70"/>
    <x v="1"/>
    <s v="Criterios reporte de información en Apligas para expedientes de comercialización de Gas Natural Cundiboyacense S.A. E.S.P"/>
    <d v="2022-06-14T00:00:00"/>
    <d v="2022-06-14T00:00:00"/>
    <s v=" Comunicación aclarando los criterios que usamos para el reporte de información. se realiza el cargue de las plantillas por cada empresa con la información de cada mercado por separado."/>
    <m/>
    <s v="097-06-2022 Criterios reporte de información en Apligas para expedientes de comercialización de Gas Natural Cundiboyacense S.A. E.S.P\Carta CREG Apligas GNCB.docx"/>
    <m/>
    <x v="1"/>
    <x v="15"/>
    <x v="1"/>
  </r>
  <r>
    <x v="70"/>
    <x v="0"/>
    <s v="Respuesta Radicado No. 20222302980901 – Requerimiento de información reportes de información _x000a_al Sistema único de Información SUI"/>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098-06-2022 -Respuesta SSPD Radicado 20222302980901 Reportes SUI\098-06-2022 -Respuesta SSPD Radicado 20222302980901 Reportes SUI.pdf"/>
    <m/>
    <x v="0"/>
    <x v="0"/>
    <x v="1"/>
  </r>
  <r>
    <x v="70"/>
    <x v="0"/>
    <s v="Respuesta Radicado No. 20222302980901 – Requerimiento de información reportes de información _x000a_al Sistema único de Información SUI"/>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099-06-2022 -Respuesta SSPD Radicado 20222302981321 Reportes SUI GNCB\099-06-2022 -Respuesta SSPD Radicado 20222302981321 Reportes SUI GNCB.pdf"/>
    <m/>
    <x v="1"/>
    <x v="0"/>
    <x v="1"/>
  </r>
  <r>
    <x v="70"/>
    <x v="0"/>
    <s v="Respuesta Radicado No. 20222302980901 – Requerimiento de información reportes de información _x000a_al Sistema único de Información SUI"/>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100-06-2022 -Respuesta SSPD Radicado 20222302980891 Reportes SUI GNCR\100-06-2022 -Respuesta SSPD Radicado 20222302980891 Reportes SUI GNCR.pdf"/>
    <m/>
    <x v="3"/>
    <x v="0"/>
    <x v="1"/>
  </r>
  <r>
    <x v="70"/>
    <x v="0"/>
    <s v="Respuesta Radicado No. 20222302980901 – Requerimiento de información reportes de información _x000a_al Sistema único de Información SUI"/>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101-06-2022 -Respuesta SSPD Radicado 20222302980901 Reportes SUI GOR\101-06-2022 -Respuesta SSPD Radicado 20222302980901 Reportes SUI GOR.pdf"/>
    <m/>
    <x v="2"/>
    <x v="0"/>
    <x v="1"/>
  </r>
  <r>
    <x v="70"/>
    <x v="0"/>
    <s v="Respuesta Radicado No. 20222312934301 – Requerimiento de información tarifaria _x000a_periodo abril de 2022"/>
    <d v="2022-06-23T00:00:00"/>
    <d v="2022-06-21T00:00:00"/>
    <s v="Se solicita información en relación con las facturas de suministro y transporte e información tarifaria para el periodo de abril de 2022.Informamos que a la fecha no se han firmado nuevos contratos de suministro y transporte para la atención del servicio de los mercados relevantes atendidos por Vanti S.A. ESP."/>
    <m/>
    <s v="106 -Respuesta SSPD Radicado 20222312934301 Vanti_abr\106 -Respuesta SSPD Radicado 20222312934301 Vanti_abr.pdf"/>
    <m/>
    <x v="0"/>
    <x v="0"/>
    <x v="1"/>
  </r>
  <r>
    <x v="71"/>
    <x v="0"/>
    <s v="Información Resolución CREG 137 de 2013"/>
    <d v="2022-05-30T00:00:00"/>
    <d v="2022-05-30T00:00:00"/>
    <s v="De conformidad con lo establecido en el literal C del artículo 5.1.1 de la Resolución CREG 137 de 2013, nos permitimos enviar la información de consumos históricos diarios de los usuarios regulados del mercado relevante conformado por los municipios de Boyacá, Cundinamarca y Santander, atendido por la empresa Gas Natural Cundiboyacense S.A. ESP para la vigencia 2020 y 2021"/>
    <m/>
    <s v="088-Información Resolución CREG 137 de 2013_Vanti S.A. ESP\088-Información Resolución CREG 137 de 2013_Vanti S.A. ESP.pdf"/>
    <m/>
    <x v="1"/>
    <x v="15"/>
    <x v="1"/>
  </r>
  <r>
    <x v="71"/>
    <x v="0"/>
    <s v="Información Resolución CREG 137 de 2013"/>
    <d v="2022-05-30T00:00:00"/>
    <d v="2022-05-30T00:00:00"/>
    <s v="De conformidad con lo establecido en el literal C del artículo 5.1.1 de la Resolución CREG 137 de 2013, nos permitimos enviar la información de consumos históricos diarios de los usuarios regulados del mercado relevante conformado por los municipios de Bogotá, Soacha y Sibaté, atendido por la empresa Vanti S.A. ESP para la vigencia 2020 y 2021"/>
    <m/>
    <s v="088-Información Resolución CREG 137 de 2013_Vanti S.A. ESP\088-Información Resolución CREG 137 de 2013_Vanti S.A. ESP.pdf"/>
    <m/>
    <x v="0"/>
    <x v="15"/>
    <x v="1"/>
  </r>
  <r>
    <x v="72"/>
    <x v="1"/>
    <s v="Comentarios Vanti a la Resolución CREG 226 de 2021."/>
    <d v="2022-05-31T00:00:00"/>
    <d v="2022-05-31T00:00:00"/>
    <s v="Mediante la presente comunicación, Vanti remite sus comentarios a la resolución en consulta, Resolución CREG 226 de 2021 “Por la cual se reglamentan aspectos comerciales "/>
    <m/>
    <s v="084-05-2022 Comentarios Resolución CREG 226 DE 2021\084-05-2022 Comentarios Vanti a la Resolución CREG 226 de 2021..pdf"/>
    <m/>
    <x v="0"/>
    <x v="15"/>
    <x v="1"/>
  </r>
  <r>
    <x v="72"/>
    <x v="1"/>
    <s v="Comentarios Resolución CREG 227 de 2021"/>
    <d v="2022-05-31T00:00:00"/>
    <d v="2022-05-31T00:00:00"/>
    <s v="Mediante la presente, las empresas del grupo Vanti (Vanti S.A. ESP, Gas Natural Cundiboyacense S.A. ESP, _x000a_Gasnacer S.A. ESP y Gasoriente S.A. ESP), en adelante Vanti, remiten sus comentarios sobre la propuesta _x000a_regulatoria contenida en el acto administrativo del asunto"/>
    <m/>
    <s v="085-05-2022 Comentarios Resolución CREG 227 de 2021\085-05-2022 Comentarios Resolución CREG 227 de 2021.pdf"/>
    <m/>
    <x v="0"/>
    <x v="15"/>
    <x v="1"/>
  </r>
  <r>
    <x v="72"/>
    <x v="1"/>
    <s v="Comentarios Vanti a la Resolución CREG 702-002"/>
    <d v="2022-05-31T00:00:00"/>
    <d v="2022-05-31T00:00:00"/>
    <s v="omo comentario general, Vanti acompaña los objetivos expuestos; sin embargo, en cuanto al segundo _x000a_objetivo, observamos varios aspectos a considerar"/>
    <m/>
    <s v="086-05- 2022 Comentarios  Vanti a la Resolución CREG 702-002\086-05- 2022 Comentarios  Vanti a la Resolución CREG 702-002..pdf"/>
    <m/>
    <x v="0"/>
    <x v="15"/>
    <x v="1"/>
  </r>
  <r>
    <x v="73"/>
    <x v="1"/>
    <s v="Solicitud de notificación personal"/>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0-05-2022 Solicitud de notificación personal GOR\080-05-2022 Solicitud de notificación personal GOR.pdf"/>
    <m/>
    <x v="2"/>
    <x v="15"/>
    <x v="1"/>
  </r>
  <r>
    <x v="73"/>
    <x v="1"/>
    <s v="Solicitud de notificación personal"/>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1-05-2022 Solicitud de notificación personal GNCR\081-05-2022 Solicitud de notificación personal GNCR.pdf"/>
    <m/>
    <x v="3"/>
    <x v="15"/>
    <x v="1"/>
  </r>
  <r>
    <x v="73"/>
    <x v="1"/>
    <s v="Solicitud de notificación personal"/>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2-05-2022 Solicitud de notificación personal VANTI"/>
    <m/>
    <x v="0"/>
    <x v="15"/>
    <x v="1"/>
  </r>
  <r>
    <x v="73"/>
    <x v="1"/>
    <s v="Solicitud de notificación personal"/>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3-05-2022 Solicitud de notificación personal GNCB\083-05-2022 Solicitud de notificación personal GNCB.pdf"/>
    <m/>
    <x v="1"/>
    <x v="15"/>
    <x v="1"/>
  </r>
  <r>
    <x v="74"/>
    <x v="0"/>
    <s v="Respuesta Requerimiento 20222311808081- Calidad de información SUI de GAS NATURAL DEL ORIENTE SA ESP.- Tercer Trimestre de 2021."/>
    <d v="2022-05-20T00:00:00"/>
    <d v="2022-05-18T00:00:00"/>
    <s v="uperintendencia de Servicios Públicos Domiciliarios solicita revisar la información de Subsidios y Contribuciones reportada en el Sistema Único de Información – SUI – y al Ministerio de Minas y Energía para el Tercer Trimestre del año 2021."/>
    <m/>
    <s v="079-05-2022 Respuesta Requerimiento 20222311808081-  calidad de información SUI de GAS NATURAL DEL ORIENTE SA ESP.- Tercer Trimestre de 2021"/>
    <m/>
    <x v="2"/>
    <x v="0"/>
    <x v="1"/>
  </r>
  <r>
    <x v="75"/>
    <x v="1"/>
    <s v="Volúmenes presentados expediente tarifario Gas Natural Cundiboyacense"/>
    <d v="2022-09-19T00:00:00"/>
    <d v="2022-09-19T00:00:00"/>
    <s v="Resolución CREG 175 del 2021. olicitamos comedidamente a TGI realizar la aclaración a la CREG de las _x000a_cifras presentadas con base en lo expuesto. Agradecemos copiarnos en la comunicación que se envíe a la Comisión con las aclaraciones respectivas."/>
    <m/>
    <s v="X:\CONSECUTIVOS\2022\Regulacion\130\130-09-2022 Solicitud de información TGI.pdf"/>
    <s v="Resolución CREG 175 del 2021"/>
    <x v="1"/>
    <x v="15"/>
    <x v="1"/>
  </r>
  <r>
    <x v="76"/>
    <x v="0"/>
    <s v="Respuesta Radicado No. 20222312081671 – Requerimiento de información tarifaria _x000a_periodo marzo de 2022"/>
    <d v="2022-05-19T00:00:00"/>
    <d v="2022-05-18T00:00:00"/>
    <s v="se solicita información en relación con las facturas de suministro y transporte e información tarifaria para el periodo de marzo de 2022"/>
    <m/>
    <s v="078 -Respuesta SSPD Radicado 20222312081671 Vanti_mar\078 -Respuesta SSPD Radicado 20222312081671 Vanti_mar.pdf"/>
    <m/>
    <x v="0"/>
    <x v="0"/>
    <x v="1"/>
  </r>
  <r>
    <x v="77"/>
    <x v="2"/>
    <s v="Fondo de Solidaridad y Redistribución de Ingresos – Conciliación II trimestre de 202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_x000a_"/>
    <m/>
    <s v="113-07-2022 MME Conciliacion Subsidios y Contribucion II Trim\113-07-2022 REPORTE FONDO DE SOLIDARIDAD GOR SA ESP.docx"/>
    <m/>
    <x v="2"/>
    <x v="8"/>
    <x v="1"/>
  </r>
  <r>
    <x v="77"/>
    <x v="2"/>
    <s v="Fondo de Solidaridad y Redistribución de Ingresos – Conciliación II trimestre de 202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
    <m/>
    <s v="114-07-2022 MME Conciliacion Subsidios y Contribuciones II TRIM\114-07-2022 REPORTE FONDO DE SOLIDARIDAD GNCR SA ESP.docx"/>
    <m/>
    <x v="3"/>
    <x v="8"/>
    <x v="1"/>
  </r>
  <r>
    <x v="77"/>
    <x v="2"/>
    <s v="Fondo de Solidaridad y Redistribución de Ingresos – Conciliación II trimestre de 202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
    <m/>
    <s v="115-07-2022 MME Conciliacion Subsidios y Contribiciones II TRIM\115-07-22-REPORTE FONDO DE SOLIDARIDAD VANTI SA ESP.docx"/>
    <m/>
    <x v="0"/>
    <x v="8"/>
    <x v="1"/>
  </r>
  <r>
    <x v="77"/>
    <x v="2"/>
    <s v="Fondo de Solidaridad y Redistribución de Ingresos – Conciliación II trimestre de 202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
    <m/>
    <s v="116-07- 2022 MME Conciliacion Subsidios y Contribuciones II Trim\116-07-2022-REPORTE FONDO DE SOLIDARIDAD GNCB SA ESP.docx"/>
    <m/>
    <x v="1"/>
    <x v="8"/>
    <x v="1"/>
  </r>
  <r>
    <x v="78"/>
    <x v="2"/>
    <s v="Fondo de Solidaridad y Redistribución de Ingresos – Conciliación I trimestre de 2022."/>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68-04-2022 MME Conciliacion Subsidios y Contribucion I Trim\068-04-2022 REPORTE FONDO DE SOLIDARIDAD GOR SA ESP.docx"/>
    <m/>
    <x v="2"/>
    <x v="0"/>
    <x v="1"/>
  </r>
  <r>
    <x v="78"/>
    <x v="2"/>
    <s v="Fondo de Solidaridad y Redistribución de Ingresos – Conciliación I trimestre de 2022."/>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69-04-2022 MME Conciliacion Subsidios y Contribuciones I TRIM\069-04-2022 REPORTE FONDO DE SOLIDARIDAD GNCR SA ESP.pdf"/>
    <m/>
    <x v="3"/>
    <x v="0"/>
    <x v="1"/>
  </r>
  <r>
    <x v="78"/>
    <x v="2"/>
    <s v="Fondo de Solidaridad y Redistribución de Ingresos – Conciliación I trimestre de 2022."/>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70-04-2022 MME Conciliacion Subsidios y Contribiciones I TRIM\070-04-22-REPORTE FONDO DE SOLIDARIDAD VANTI SA ESP.pdf"/>
    <m/>
    <x v="0"/>
    <x v="0"/>
    <x v="1"/>
  </r>
  <r>
    <x v="78"/>
    <x v="2"/>
    <s v="Fondo de Solidaridad y Redistribución de Ingresos – Conciliación I trimestre de 2022."/>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71-04-2022 MME Conciliacion Subsidios y Contribuciones I Trim\071-04-2022-REPORTE FONDO DE SOLIDARIDAD GNCB SA ESP.pdf"/>
    <m/>
    <x v="1"/>
    <x v="0"/>
    <x v="1"/>
  </r>
  <r>
    <x v="79"/>
    <x v="0"/>
    <s v="Respuesta Radicado No. 20222311760441 – Requerimiento de información tarifaria _x000a_periodo enero y febrero de 2022"/>
    <d v="2022-05-02T00:00:00"/>
    <d v="2022-04-29T00:00:00"/>
    <s v="Se solicita información para verificar los cálculos de los componentes de Suministro (G), Transporte (T), Distribución (D) y Comercialización (C) conforme a lo establecido en la Resolución CREG - 137 de 2013 para los mercados relevantes atendidos por la Compañía, e información sobre los compromisos acordados en la reunión del 7 de abril de 2022"/>
    <m/>
    <s v="072-04-2022 SSPD verificación tarifaria ene y feb GOR\072-04-2022-Respuesta SSPD Radicado 20222311760441_GOR.pdf"/>
    <m/>
    <x v="2"/>
    <x v="0"/>
    <x v="1"/>
  </r>
  <r>
    <x v="79"/>
    <x v="0"/>
    <s v="Respuesta Radicado No. 20222311861031 – Solicitud información Indicadores de Gestión _x000a_Año 2021 -Resolución CREG 072 de 2002."/>
    <d v="2022-04-29T00:00:00"/>
    <d v="2022-04-29T00:00:00"/>
    <s v="se solicita información base para el cálculo de los indicadores de gestión de acuerdo con lo establecido en la Resolución CREG 072 de 2002, a continuación"/>
    <m/>
    <s v="073 -Respuesta requerimiento 20222311860301 Indicadores CREG 072_ GNCR\073 -Respuesta requerimiento 20222311860301 Indicadores CREG 072 de 2002_GNC.pdf"/>
    <m/>
    <x v="3"/>
    <x v="0"/>
    <x v="1"/>
  </r>
  <r>
    <x v="79"/>
    <x v="0"/>
    <s v="Respuesta Radicado No. 20222311861031 – Solicitud información Indicadores de Gestión _x000a_Año 2021 -Resolución CREG 072 de 2002."/>
    <d v="2022-04-29T00:00:00"/>
    <d v="2022-04-29T00:00:00"/>
    <s v="se solicita información base para el cálculo de los indicadores de gestión de acuerdo con lo establecido en la Resolución CREG 072 de 2002, a continuación"/>
    <m/>
    <s v="074 -Respuesta requerimiento 20222311861021 Indicadores CREG 072\074 -Respuesta requerimiento 20222311861021 Indicadores CREG 072 de 2002_Cundi.pdf"/>
    <m/>
    <x v="1"/>
    <x v="0"/>
    <x v="1"/>
  </r>
  <r>
    <x v="79"/>
    <x v="0"/>
    <s v="Respuesta Radicado No. 20222311861031 – Solicitud información Indicadores de Gestión _x000a_Año 2021 -Resolución CREG 072 de 2002."/>
    <d v="2022-04-29T00:00:00"/>
    <d v="2022-04-29T00:00:00"/>
    <s v="se solicita información base para el cálculo de los indicadores de gestión de acuerdo con lo establecido en la Resolución CREG 072 de 2002, a continuación"/>
    <m/>
    <s v="X:\CONSECUTIVOS\2022\Regulacion\075- Respuesta requerimiento 20222311861031 Indicadores CREG 072\075- Respuesta requerimiento 20222311861031 Indicadores CREG 072 de 2002_Vanti.pdf"/>
    <m/>
    <x v="0"/>
    <x v="0"/>
    <x v="1"/>
  </r>
  <r>
    <x v="79"/>
    <x v="0"/>
    <s v="Respuesta Radicado No. 20222311861041 – Solicitud información Indicadores de _x000a_Gestión Año 2021 -Resolución CREG 072 de 2002."/>
    <d v="2022-04-29T00:00:00"/>
    <d v="2022-04-29T00:00:00"/>
    <s v="e solicita información base para el _x000a_cálculo de los indicadores de gestión de acuerdo con lo establecido en la Resolución CREG 072 de _x000a_2002"/>
    <m/>
    <s v="X:\CONSECUTIVOS\2022\Regulacion\76-04-2022Respuesta Radicado No. 20222311861041 – Solicitud información Indicadores de Gestión Año 2021 -Resolución CREG 072 de 2002\076-Respuesta requerimiento 20222311861041 Indicadores CREG 072 de 2002_GOR.pdf"/>
    <m/>
    <x v="2"/>
    <x v="0"/>
    <x v="1"/>
  </r>
  <r>
    <x v="80"/>
    <x v="0"/>
    <s v="Respuesta al requerimiento 20222311656891- Calidad de información SUI – Tercer trimestre de 2021"/>
    <d v="2022-04-26T00:00:00"/>
    <d v="2022-04-26T00:00:00"/>
    <s v="En atención al comunicado enunciado en el asunto, donde se solicita una copia del contrato vigente _x000a_suscrito con la firma de AEGR nos permitimos informar que este se tiene suscrito con la firma KPMG _x000a_DVISORY TAX &amp; LEGAL SAS, se adjunta a esta comunicación el contrato No 4600001349 dando _x000a_cumplimiento a lo establecido en el artículo 51 de la Ley 142 de 1994, modificado por el artículo 6 _x000a_de la Ley 689 de 2001."/>
    <m/>
    <s v="063_04_2022 Respuesta al requerimiento 20222311656891 v1\063_04_2022 Respuesta al requerimiento 20222311656891.pdf"/>
    <m/>
    <x v="3"/>
    <x v="0"/>
    <x v="1"/>
  </r>
  <r>
    <x v="80"/>
    <x v="0"/>
    <s v="Respuesta al requerimiento 20222311663491- Calidad de información SUI – Tercer trimestre de 2021"/>
    <d v="2022-04-26T00:00:00"/>
    <d v="2022-04-26T00:00:00"/>
    <s v="En conclusión, la diferencia ilustrada por la SSPD, se debió a 1. La diferencia en el balance: se debió a una corrección que se _x000a_dio en los trámites regulares de conciliación con el MME y 2. La diferencia en la cifra de contribuciones: se dio debido al _x000a_tratamiento diferenciado que tiene el giro de otros comercializadores en el SUI y el MME. Finalmente, la certificación del _x000a_Auditor Externo de Gestión de Resultados se enviará a la SSPD, dando alcance a esta comunicación, una vez se tenga _x000a_disponible. En todo caso, quedamos a su entera disposición para resolver las dudas sobre el asunto que nos ocupa y/o ampliar _x000a_la información que la SSPD considere necesaria."/>
    <m/>
    <s v="064_04_2022 Respuesta al requerimiento 20222311663491 v1 - revisión LJML\064_04_2022 Respuesta al requerimiento 20222311663491 v1 - revisión LJML.pdf"/>
    <m/>
    <x v="0"/>
    <x v="0"/>
    <x v="1"/>
  </r>
  <r>
    <x v="81"/>
    <x v="0"/>
    <s v="Respuesta Radicado No. 20222301777201– Copia contrato de Auditoría Externa de Gestión _x000a_y Resultados"/>
    <d v="2022-04-20T00:00:00"/>
    <d v="2022-04-20T00:00:00"/>
    <s v="En atención al comunicado enunciado en el asunto, donde se solicita una copia del contrato vigente _x000a_suscrito con la firma de AEGR nos permitimos informar que este se tiene suscrito con la firma KPMG _x000a_DVISORY TAX &amp; LEGAL SAS, se adjunta a esta comunicación el contrato No 4600001349 dando _x000a_cumplimiento a lo establecido en el artículo 51 de la Ley 142 de 1994, modificado por el artículo 6 _x000a_de la Ley 689 de 2001."/>
    <m/>
    <s v="062-02-2022 Respuesta Requerimiento 20222301777201 copia contrato AERG\062-02-2022 Respuesta Requerimiento 20222301777201 copia contrato AERG.pdf"/>
    <m/>
    <x v="0"/>
    <x v="0"/>
    <x v="1"/>
  </r>
  <r>
    <x v="81"/>
    <x v="0"/>
    <s v="Respuesta Radicado No. 20222301777241 – Copia contrato de Auditoría Externa de _x000a_Gestión y Resultados"/>
    <d v="2022-04-27T00:00:00"/>
    <d v="2022-04-26T00:00:00"/>
    <s v="se solicita una copia del contrato _x000a_vigente suscrito con la firma de AEGR nos permitimos informar que este se tiene suscrito con la _x000a_firma KPMG DVISORY TAX &amp; LEGAL SAS, se adjunta a esta comunicación el contrato No _x000a_4600001350 dando cumplimiento a lo establecido en el artículo 51 de la Ley 142 de 1994, _x000a_modificado por el artículo 6 de la Ley 689 de 2001."/>
    <m/>
    <s v="065-04-2022 Respuesta Requerimiento 20222301777231 copia contrato AERG\065-04-2022 Respuesta Requerimiento 20222301777231 copia contrato AERG.pdf"/>
    <m/>
    <x v="3"/>
    <x v="0"/>
    <x v="1"/>
  </r>
  <r>
    <x v="81"/>
    <x v="0"/>
    <s v="Respuesta Radicado No. 20222301777241 – Copia contrato de Auditoría Externa de _x000a_Gestión y Resultados"/>
    <d v="2022-04-27T00:00:00"/>
    <d v="2022-04-26T00:00:00"/>
    <s v="se solicita una copia del contrato _x000a_vigente suscrito con la firma de AEGR nos permitimos informar que este se tiene suscrito con la _x000a_firma KPMG DVISORY TAX &amp; LEGAL SAS, se adjunta a esta comunicación el contrato No _x000a_4600001350 dando cumplimiento a lo establecido en el artículo 51 de la Ley 142 de 1994, _x000a_modificado por el artículo 6 de la Ley 689 de 2001."/>
    <m/>
    <s v="066-04-2022 Respuesta Requerimiento 20222301777241 copia contrato AERG\066-04-2022 Respuesta Requerimiento 20222301777241 copia contrato AERG.pdf"/>
    <m/>
    <x v="2"/>
    <x v="0"/>
    <x v="1"/>
  </r>
  <r>
    <x v="81"/>
    <x v="0"/>
    <s v="Respuesta Radicado No. 20222301777461 – Copia contrato de Auditoría Externa de _x000a_Gestión y Resultados."/>
    <d v="2022-04-20T00:00:00"/>
    <d v="2022-04-20T00:00:00"/>
    <s v="Se solicita una copia del contrato vigente suscrito con la firma de AEGR nos permitimos informar que este se tiene suscrito con la firma KPMG DVISORY TAX &amp; LEGAL SAS, se adjunta a esta comunicación el contrato No 4600001352 dando cumplimiento a lo establecido en el artículo 51 de la Ley 142 de 1994, modificado por el artículo 6 de la Ley 689 de 2001."/>
    <m/>
    <s v="067-04-2022 Respuesta Requerimiento 20222301777461 copia contrato AERG\067-04-2022 Respuesta Requerimiento 20222301777461 copia contrato AERG.pdf"/>
    <m/>
    <x v="1"/>
    <x v="0"/>
    <x v="1"/>
  </r>
  <r>
    <x v="82"/>
    <x v="0"/>
    <s v="Periodo de aplicación de la Opción Tarifaria Transitoria – Resolución CREG 184 de 2014."/>
    <d v="2022-04-12T00:00:00"/>
    <d v="2022-04-12T00:00:00"/>
    <s v="A la fecha de finalización de la opción tarifaria, el saldo acumulado establecido en la resolución CREG 184 de 2014 para los mercados relevantes mencionados es igual a cero (0)."/>
    <m/>
    <s v="060-2022 CREG SSPD GOR Finalización Opción Tarifaria\060-2022 CREG SSPD GOR Finalización Opción Tarifaria.pdf"/>
    <m/>
    <x v="2"/>
    <x v="0"/>
    <x v="1"/>
  </r>
  <r>
    <x v="83"/>
    <x v="0"/>
    <s v="Respuesta Radicado No. 20222311529751 – Requerimiento de información tarifaria _x000a_periodo febrero de 2022"/>
    <d v="2022-04-25T00:00:00"/>
    <d v="2022-04-22T00:00:00"/>
    <s v="Formación adicional que consideramos pertinente para sus actividades de validación de información, de igual manera, en la plantilladonde se reportó la información de suministro y transporte fueron incluidas nuevas columnas con información adicional que sirva de apoyo para su análisis."/>
    <m/>
    <s v="061 -04-2022 Respuesta SSPD Radicado 20222311529751_Vanti_feb\061 -Respuesta SSPD Radicado 20222311529751_Vanti_feb.pdf"/>
    <m/>
    <x v="0"/>
    <x v="0"/>
    <x v="1"/>
  </r>
  <r>
    <x v="84"/>
    <x v="2"/>
    <s v="Derecho de petición de solicitud de información sobre proyectos de _x000a_exploración de gas natural en el Cesar."/>
    <d v="2022-04-05T00:00:00"/>
    <d v="2022-04-05T00:00:00"/>
    <s v="Solicito se informe en el departamento del Cesar, en qué poblaciones del Cesar se tienen proyectos de exploración de GN convencionales y no convencionales, proyectados para los próximos diez años."/>
    <m/>
    <s v="058-04-2022 Derecho de petición de solicitud de información sobre proyectos de exploración de gas natural en el Cesar"/>
    <m/>
    <x v="3"/>
    <x v="0"/>
    <x v="1"/>
  </r>
  <r>
    <x v="85"/>
    <x v="0"/>
    <s v="Respuesta Radicado No. 20222311268321 – Componentes tarifarios periodo 02 de 2022"/>
    <d v="2022-04-05T00:00:00"/>
    <d v="2022-04-04T00:00:00"/>
    <s v="Adjuntamos a esta comunicación, el archivo “Facturas de cobro.zip”, el cual contiene cuatro _x000a_(4) archivos PDF con copia de 2 facturas emitidas en el mes de diciembre de 2021 para _x000a_clientes de estrato 3 de Bucaramanga, y 2 emitidas en el mes de marzo de 2022 para clientes _x000a_de estrato 3 de Bucaramanga._x000a_Finalmente, informamos que por el tamaño de información a reportar (aproximadamente _x000a_100 MB), se ha dispuesto una carpeta compartida en la siguiente dirección:_x000a_https://drive.google.com/drive/folders/1634fn9T2tJ_jpRRDsQCdWaRVzr_x0002_t1uw7?usp=sharing"/>
    <m/>
    <s v="059-04-2022 GOR SSPD Verificación Tarifaria"/>
    <m/>
    <x v="2"/>
    <x v="0"/>
    <x v="1"/>
  </r>
  <r>
    <x v="86"/>
    <x v="1"/>
    <s v="Aclaraciones Radicado I-2022-005084, Expediente No. 2020-0227, Solicitud Apligas No. 2120. Adición del Período Probatorio decretado dentro de la Actuación Administrativa iniciado con base en solicitud de la empresa GAS NATURAL DEL ORIENTE S.A. E.S.P. para la aprobación de cargos de distribución de gas combustible por redes para el mercado relevante conformado por Yondó en el departamento de Antioquia, Cantagallo y San Pablo en el departamento de Bolívar, Aguachica, Agustín Codazzi, Becerril, Chiriguaná, Curumaní, Gamarra, La Gloria, La Jagua de Ibirico, Pailitas, Pelaya, San Alberto, San Diego, San Martín y Tamalameque en el departamento de Cesar, El Banco en el departamento de Magdalena, La Esperanza en el departamento de Norte de Santander, Barrancabermeja, Bucaramanga, Girón, Lebrija, Piedecuesta, Puerto Wilches y Sabana de Torres en el departamento de Santander._x000a_"/>
    <d v="2022-03-23T00:00:00"/>
    <d v="2022-03-23T00:00:00"/>
    <s v="Las observaciones fueron diligenciadas de acuerdo con cada uno de los ítems mencionados en el archivo “Anexo Gasnacer I-2022-005083”, los cuales aporta para la identificación de los atributos de los activos."/>
    <m/>
    <s v="056-03-2022 Respuesta Comunicado Auto I-2022-005084 Gasoriente\056-03-2022 Respuesta Comunicado Auto I-2022-005084 Gasoriente.docx"/>
    <m/>
    <x v="2"/>
    <x v="0"/>
    <x v="1"/>
  </r>
  <r>
    <x v="86"/>
    <x v="1"/>
    <s v="Adición del Período Probatorio decretado dentro de la Actuación Administrativa iniciada con base en solicitud de la empresa GAS NATURAL DEL CESAR S.A. E.S.P. para la aprobación de cargos de distribución de gas combustible por redes para el mercado relevante conformado por Yondó en el departamento de Antioquia, Cantagallo y San Pablo en el departamento de Bolívar, Aguachica, Agustín Codazzi, Becerril, Chiriguaná, Curumaní, Gamarra, La Gloria, La Jagua de Ibirico, Pailitas, Pelaya, San Alberto, San Diego, San Martín y Tamalameque en el departamento de Cesar, El Banco en el departamento de Magdalena, La Esperanza en el departamento de Norte de Santander, Barrancabermeja, Bucaramanga, Girón, Lebrija, Piedecuesta, Puerto Wilches y Sabana de Torres en el departamento de Santander."/>
    <d v="2022-03-23T00:00:00"/>
    <d v="2022-03-23T00:00:00"/>
    <s v="Las observaciones fueron diligenciadas de acuerdo con cada uno de los ítems mencionados en el archivo “Anexo Gasnacer I-2022-005083”, los cuales aporta para la identificación de los atributos de los activos."/>
    <m/>
    <s v="057-03-2022 Respuesta Comunicado Auto I-2022-005083 GNCER\057-03-2022 Respuesta Comunicado Auto I-2022-005083 GNCER.docx"/>
    <m/>
    <x v="3"/>
    <x v="0"/>
    <x v="1"/>
  </r>
  <r>
    <x v="87"/>
    <x v="1"/>
    <s v="Solicitud de reconocimiento como tercero interesado, con el fin de intervenir _x000a_en la actuación administrativa encaminada a la actualización de los cargos, para que _x000a_incluyan a su vez las actualizaciones de inversión, AOM, PNI, IAC y demandas, cuya _x000a_decisión será la actualización de cargos para remuneración de la actividad de _x000a_transporte de gas natural para la Transportadora de Gas Internacional TGI S.A. _x000a_E.S.P., en aplicación de la metodología indicada en la Resolución CREG 175 de 2021_x000a_(modificada por la Resolución CREG 102 001 de 2022)."/>
    <d v="2022-03-18T00:00:00"/>
    <d v="2022-03-18T00:00:00"/>
    <s v="Vanti S.A. E.S.P. cuenta con el derecho a ser tenida como tercero interesado dentro de la actuación _x000a_administrativa, así como con el de conocer la información del expediente, analizarla y presentar las _x000a_observaciones que estime pertinentes de cara a la defensa de sus intereses, como como usuario del Sistema _x000a_Nacional de Transporte y remitente del servicio de transporte y en cumplimiento de sus obligaciones como _x000a_comercializador del servicio de gas natural."/>
    <m/>
    <s v="055-03-2022 Solicitud de tercero interesado- Res 175 de 2021 para TGI_RvMR\055-03-2022 Solicitud de tercero interesado- Res 175 de 2021 para TGI_RvMR.pdf"/>
    <m/>
    <x v="0"/>
    <x v="0"/>
    <x v="1"/>
  </r>
  <r>
    <x v="87"/>
    <x v="1"/>
    <s v="Solicitud de reconocimiento como tercero interesado, con el fin de intervenir _x000a_en la actuación administrativa encaminada a la actualización de los cargos, para que _x000a_incluyan a su vez las actualizaciones de inversión, AOM, PNI, IAC y demandas, cuya _x000a_decisión será la actualización de cargos para remuneración de la actividad de _x000a_transporte de gas natural para la Transportadora de Gas Internacional TGI S.A. _x000a_E.S.P., en aplicación de la metodología indicada en la Resolución CREG 175 de 2021_x000a_(modificada por la Resolución CREG 102 001 de 2022)."/>
    <d v="2022-03-18T00:00:00"/>
    <d v="2022-03-18T00:00:00"/>
    <s v="Solicitud de reconocimiento como tercero interesado, con el fin de intervenir _x000a_en la actuación administrativa encaminada a la actualización de los cargos, para que _x000a_incluyan a su vez las actualizaciones de inversión, AOM, PNI, IAC y demandas, cuya _x000a_decisión será la actualización de cargos para remuneración de la actividad de _x000a_transporte de gas natural para la Transportadora de Gas Internacional TGI S.A. _x000a_E.S.P., en aplicación de la metodología indicada en la Resolución CREG 175 de 2021_x000a_(modificada por la Resolución CREG 102 001 de 2022)."/>
    <m/>
    <s v="055-03-2022 Solicitud de tercero interesado- Res 175 de 2021 para TGI_RvMR\055-03-2022 Solicitud de tercero interesado- Res 175 de 2021 para TGI_RvMR.pdf"/>
    <m/>
    <x v="0"/>
    <x v="0"/>
    <x v="1"/>
  </r>
  <r>
    <x v="88"/>
    <x v="0"/>
    <s v="Reporte 6024 Componentes Tarifarios gas combustible periodo 02 de 2022"/>
    <d v="2022-03-15T00:00:00"/>
    <d v="2022-03-15T00:00:00"/>
    <s v="Por tal motivo, solicitamos a la SSPD la inclusión de componentes negativos en el validador y este permita el cargue del reporte y no se genere extemporáneo el formato de componentes tarifarios. Adjuntamos a esta comunicación el archivo en formato CSV correspondiente a la información tarifaria del mes de febrero junto con las publicaciones oficiales en diarios._x000a_"/>
    <m/>
    <s v="052-03-2022 Reporte componentes Tarifarios SUI GOR\052-03-2022 Reporte componentes Tarifarios SUI GOR.docx"/>
    <m/>
    <x v="2"/>
    <x v="15"/>
    <x v="1"/>
  </r>
  <r>
    <x v="89"/>
    <x v="0"/>
    <s v="Comentarios Proyecto de resolución - Lineamientos para el cargue de información al SUI _x000a_aplicable a los prestadores del servicio público de gas combustible por redeS"/>
    <d v="2022-03-10T00:00:00"/>
    <d v="2022-03-10T00:00:00"/>
    <s v="Formalmente las empresas del grupo Vanti presentan sus comentarios al proyecto de resolución _x000a_“Por la cual unifican los lineamientos para el cargue de información al Sistema Único de _x000a_Información – SUI aplicable a los prestadores del servicio público de gas combustible por redes”"/>
    <m/>
    <s v="050-03-2022 Comentarios Proyecto de Resolución Lineamientos para el cargue de información al SUI\050-03-2022 Comentarios Proyecto de Resolución Lineamientos para el cargue de información al SUI.pdf"/>
    <m/>
    <x v="0"/>
    <x v="0"/>
    <x v="1"/>
  </r>
  <r>
    <x v="89"/>
    <x v="0"/>
    <s v="Respuesta a radicado SSPD No. 20222310618981 – Requerimiento adicional sobre _x000a_caso Grantierra"/>
    <d v="2022-03-10T00:00:00"/>
    <d v="2022-03-10T00:00:00"/>
    <s v="Informamos que Gran Tierra no se ha manifestado en cuanto a dicha oferta de conexión al _x000a_sistema distribución. "/>
    <m/>
    <s v="051-2022 GNCr SSPD Respuesta caso Grantierra\051-2022 GNCr SSPD Respuesta caso Grantierra.pdf"/>
    <m/>
    <x v="3"/>
    <x v="0"/>
    <x v="1"/>
  </r>
  <r>
    <x v="89"/>
    <x v="0"/>
    <s v="Alcance a la respuesta al radicado SSPD No. 20222310618981 – Requerimiento _x000a_adicional sobre caso Grantierra"/>
    <d v="2022-03-10T00:00:00"/>
    <d v="2022-03-07T00:00:00"/>
    <s v="El municipio de San Martín de donde hacen parte tanto los centros poblados en análisis como la industria Gran Tierra, en la actualidad cuenta con un cargo de distribución de 454.36 $/m3 aprobado por la resolución 113 de 2007. Es importante también mencionar que en la actualidad, hay un expediente tarifario que está en estudio por la CREG y que se espera sea aprobada una nueva tarifa durante el presente año. Este expediente tarifario se basa en la resolución CREG 202 del 2013"/>
    <m/>
    <s v="053-03-2022 Verificación tarifaria SSPD_Vanti_ene\053-02-2022 Alcance Respuesta GASNACER al requerimiento 20222310618981 GRANTIERRA en limpio (003).pdf"/>
    <m/>
    <x v="3"/>
    <x v="0"/>
    <x v="1"/>
  </r>
  <r>
    <x v="90"/>
    <x v="1"/>
    <s v="Comentarios al documento CONPES en elaboración – Política Transición Energética"/>
    <d v="2022-03-02T00:00:00"/>
    <d v="2022-03-02T00:00:00"/>
    <s v="Formalmente las empresas del grupo Vanti comparten al DNP sus comentarios respecto al documento del asunto, cuyo objetivo final consistirá en diseñar, articular e implementar estrategias intersectoriales que fomenten la transición energética impulsando un crecimiento sostenible, eficiente, tecnológico, ambiental y social"/>
    <m/>
    <s v="049-2022 Vanti DNP Comentarios CONPES en elaboración - Transición Energética\049-2022 Vanti DNP Comentarios CONPES en elaboración - Transición Energética.pdf"/>
    <m/>
    <x v="0"/>
    <x v="15"/>
    <x v="1"/>
  </r>
  <r>
    <x v="91"/>
    <x v="1"/>
    <s v="Solicitud reunión para presentar análisis Vanti propuesta metodología comercialización"/>
    <d v="2022-02-23T00:00:00"/>
    <d v="2022-02-23T00:00:00"/>
    <s v="Respetuosamente las empresas del grupo Vanti solicitan a la Comisión un espacio de hora y media para presentar a los Expertos Comisionados que usted defina los análisis realizados a la propuesta de nueva metodología de comercialización regulada de gas natural, contenida en las resoluciones CREG 220 de 2020 y 147 y 235 de 2021. "/>
    <m/>
    <s v="047-02-2022-Vanti CREG Solicitud de reunión Nueva Metodología de Comercialización\047-02-2022-Vanti CREG Solicitud de reunión Nueva Metodología de Comercialización.docx"/>
    <m/>
    <x v="0"/>
    <x v="0"/>
    <x v="1"/>
  </r>
  <r>
    <x v="92"/>
    <x v="0"/>
    <s v="Plan de Expansión Gasnacer S.A. ESP – años 2022 a 2026"/>
    <d v="2022-02-22T00:00:00"/>
    <d v="2022-02-22T00:00:00"/>
    <s v="Mercado relevante conformado por los municipios de Aguachica, Agustín Codazzi, _x000a_Becerril, La Jagua de Ibirico, La Gloria, Curumaní, Chiriguaná, Pailitas, San Diego, _x000a_Tamalameque, Pelaya y San Alberto en el departamento de Cesar; El Banco en el _x000a_departamento de Magdalena y el corregimiento de La Pedregosa del municipio de La _x000a_Esperanza en el departamento de Norte de Santander._x000a_• Mercado relevante del municipio de San Martín en el departamento del Cesar."/>
    <m/>
    <s v="042-Plan De Expansión Gasnacer S.A ESP\042-Plan De Expansión Gasnacer S.A ESP.pdf"/>
    <m/>
    <x v="3"/>
    <x v="0"/>
    <x v="1"/>
  </r>
  <r>
    <x v="93"/>
    <x v="0"/>
    <s v="Respuesta Radicado SSPD 20222310406261 - Requerimiento por solicitud de información - Evento de suspensión del servicio en el sur de Bolívar del 01 de febrero de 2022_x000a_"/>
    <d v="2022-02-21T00:00:00"/>
    <d v="2022-02-21T00:00:00"/>
    <s v="Con respecto al presente requerimiento, una vez evaluado a lo solicitado, no se evidencia la necesidad de documentos y/o información adicional a lo aportado en los numerales anteriores."/>
    <m/>
    <s v="038-02-2022 Respuesta al Requerimiento 20222300291711 Recuperación de saldos acumulados de la Resolución CREG 048 de 2020. GNCR\120222300291861_00002_GNCR.xlsx"/>
    <m/>
    <x v="0"/>
    <x v="0"/>
    <x v="1"/>
  </r>
  <r>
    <x v="93"/>
    <x v="0"/>
    <s v="Respuesta Radicado SSPD 20222310406261 - Requerimiento por solicitud de información - Evento de suspensión del servicio en el sur de Bolívar del 01 de febrero de 2022_x000a_"/>
    <d v="2022-02-21T00:00:00"/>
    <d v="2022-02-21T00:00:00"/>
    <s v="Con respecto al presente requerimiento, una vez evaluado a lo solicitado, no se evidencia la necesidad de documentos y/o información adicional a lo aportado en los numerales anteriores."/>
    <m/>
    <s v="038-02-2022 Respuesta al Requerimiento 20222300291711 Recuperación de saldos acumulados de la Resolución CREG 048 de 2020. GNCR\120222300291861_00002_GNCR.xlsx"/>
    <m/>
    <x v="2"/>
    <x v="0"/>
    <x v="1"/>
  </r>
  <r>
    <x v="93"/>
    <x v="0"/>
    <s v="Respuesta Radicado SSPD 20222310406261 - Requerimiento por solicitud de información - Evento de suspensión del servicio en el sur de Bolívar del 01 de febrero de 2022_x000a_"/>
    <d v="2022-02-21T00:00:00"/>
    <d v="2022-02-21T00:00:00"/>
    <s v="Con respecto al presente requerimiento, una vez evaluado a lo solicitado, no se evidencia la necesidad de documentos y/o información adicional a lo aportado en los numerales anteriores."/>
    <m/>
    <s v="038-02-2022 Respuesta al Requerimiento 20222300291711 Recuperación de saldos acumulados de la Resolución CREG 048 de 2020. GNCR\120222300291861_00002_GNCR.xlsx"/>
    <m/>
    <x v="3"/>
    <x v="0"/>
    <x v="1"/>
  </r>
  <r>
    <x v="93"/>
    <x v="0"/>
    <s v="Respuesta Radicado SSPD 20222310406261 - Requerimiento por solicitud de información - Evento de suspensión del servicio en el sur de Bolívar del 01 de febrero de 2022_x000a_"/>
    <d v="2022-02-21T00:00:00"/>
    <d v="2022-02-21T00:00:00"/>
    <s v="Con respecto al presente requerimiento, una vez evaluado a lo solicitado, no se evidencia la necesidad de documentos y/o información adicional a lo aportado en los numerales anteriores."/>
    <m/>
    <s v="039-02-2022 Respuesta al requerimiento 20222310406261 Segundo evento de suspensión del servicio en el sur de Bolívar\039-02-2022 Respuesta al requerimiento 20222310406261 Segundo evento de suspen.docx"/>
    <m/>
    <x v="2"/>
    <x v="0"/>
    <x v="1"/>
  </r>
  <r>
    <x v="93"/>
    <x v="1"/>
    <s v="Respuesta de Vanti al radicado TGI S20220100000952 - Remisión Anexo 10 Resolución CREG 175 de 2021 _x000a_– ERPC Reportadas por Distribuidor"/>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3-02-2022 Respuesta de Vanti al radicado TGI S20220100000952\043-02-2022 Respuesta de Vanti al radicado TGI S20220100000952.pdf"/>
    <m/>
    <x v="0"/>
    <x v="0"/>
    <x v="1"/>
  </r>
  <r>
    <x v="93"/>
    <x v="1"/>
    <s v="respuesta de Gas Natural Cundiboyacense al radicado TGI S20220100000952 - Remisión Anexo 10_x000a_Resolución CREG 175 de 2021 – ERPC Reportadas por Distribuidor"/>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4-02-2022 Respuesta de Gas Natural Cundiboyacense al radicado TGI S20220100000952\044-02-2022 Respuesta de Gas Natural Cundiboyacense al radicado TGI S20220100000952.pdf"/>
    <m/>
    <x v="1"/>
    <x v="0"/>
    <x v="1"/>
  </r>
  <r>
    <x v="93"/>
    <x v="1"/>
    <s v="Respuesta de Gas Natural del Oriente al radicado TGI S20220100000952 - Remisión Anexo 10 _x000a_Resolución CREG 175 de 2021 – ERPC Reportadas por Distribuidor"/>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5-02-2022 Respuesta de Gas Natural del Oriente al radicado TGI S20220100000952\045-02-2022 Respuesta de Gas Natural del Oriente al radicado TGI S20220100000952.pdf"/>
    <m/>
    <x v="2"/>
    <x v="0"/>
    <x v="1"/>
  </r>
  <r>
    <x v="93"/>
    <x v="1"/>
    <s v="Respuesta de Gas Natural del Cesar al radicado TGI S20220100000952 - Remisión Anexo 10 Resolución CREG 175 de 2021 – ERPC Reportadas por Distribuido"/>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6-02-2022 Respuesta de Gas Natural del Cesar al radicado TGI S20220100000952\046-02-2022 Respuesta de Gas Natural del Cesar al radicado TGI S20220100000952.pdf"/>
    <m/>
    <x v="1"/>
    <x v="0"/>
    <x v="1"/>
  </r>
  <r>
    <x v="94"/>
    <x v="1"/>
    <s v="Presentación de comentarios AIN en grandes industrias - análisis de impacto normativo."/>
    <d v="2022-02-18T00:00:00"/>
    <d v="2022-02-18T00:00:00"/>
    <s v="consideramos que también debe incluirse en el marco de las auditorías una etapa _x000a_de pilotos para que, con base en los resultados obtenidos, se identifiquen y establezcan _x000a_incentivos para la implementación de estas medidas por parte de las grandes industrias."/>
    <m/>
    <s v="041-22-Vanti MME comentarios Auditorias energéticas\041-22-Vanti MME comentarios Auditorias energéticas.pdf"/>
    <m/>
    <x v="0"/>
    <x v="0"/>
    <x v="1"/>
  </r>
  <r>
    <x v="95"/>
    <x v="2"/>
    <s v="Comentarios proyecto resolución – Adopción PAI 2022-2030 para desarrollo del PROURE."/>
    <d v="2022-02-12T00:00:00"/>
    <d v="2022-02-12T00:00:00"/>
    <s v="Teniendo en cuenta que con los resultados del PAI-PROURE del año 2022-2030 la UPME _x000a_identifica las medidas que requieren incentivos tributarios para poder ser desarrolladas, y con _x000a_ello alcanzar las metas de eficiencia energética potenciales, las empresas del Grupo Vanti _x000a_formalmente presentan sus observaciones a los documentos publicados y realizan dos _x000a_propuestas constructivas de medidas que aportarían a lograr dichas metas"/>
    <m/>
    <s v="D-702 008-2022 Formato comentarios Anexo_Vanti.xlsm"/>
    <m/>
    <x v="0"/>
    <x v="10"/>
    <x v="1"/>
  </r>
  <r>
    <x v="96"/>
    <x v="1"/>
    <s v="Petición respetuosa para el acceso al expediente virtual de la solicitud del cargo de _x000a_distribución por uso del sistema de distribución, para el mercado relevante conformado por_x000a_municipios pertenecientes a los departamentos de Cundinamarca, Boyacá y Santander1_x000a_, según _x000a_solicitud tarifaria presentada por la empresa GAS NATURAL CUNDIBOYACENSE S.A. E.S.P. (Expediente _x000a_Apligas No. 2119 2020-08-10)"/>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0-02-2022 Vanti CREG solicitud acceso expediente\030-02-2022 Vanti CREG solicitud acceso expediente.pdf"/>
    <m/>
    <x v="0"/>
    <x v="0"/>
    <x v="1"/>
  </r>
  <r>
    <x v="96"/>
    <x v="1"/>
    <s v="Petición respetuosa para el acceso al expediente virtual de la solicitud del cargo de _x000a_distribución por uso del sistema de distribución, para el mercado relevante conformado por_x000a_municipios pertenecientes a los departamentos de Cundinamarca, Boyacá y Santander1_x000a_, según _x000a_solicitud tarifaria presentada por la empresa GAS NATURAL CUNDIBOYACENSE S.A. E.S.P. (Expediente _x000a_Apligas No. 2119 2020-08-10)"/>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1-02-2022 GNCB CREG Solicitud Acceso expediente\031-02-2022 GNCB CREG Solicitud Acceso expediente.pdf"/>
    <m/>
    <x v="1"/>
    <x v="0"/>
    <x v="1"/>
  </r>
  <r>
    <x v="96"/>
    <x v="1"/>
    <s v="Petición respetuosa para el acceso al expediente virtual de la solicitud del cargo de distribución _x000a_por uso del sistema de distribución, para el mercado relevante conformado por municipios _x000a_pertenecientes a los departamentos de Santander, Magdalena, Antioquia, Norte de Santander, Cesar _x000a_y Bolívar1_x000a_, según solicitud tarifaria presentada por la empresa GAS NATURAL DEL CESAR S.A. E.S.P. _x000a_(Expediente Apligas No. 2121 2020-08-10)"/>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2-02-2022 GOR CREG Solicitud Acceso expediente\032-02-2022 GOR CREG Solicitud Acceso expediente.pdf"/>
    <m/>
    <x v="2"/>
    <x v="0"/>
    <x v="1"/>
  </r>
  <r>
    <x v="96"/>
    <x v="1"/>
    <s v="Petición respetuosa para el acceso al expediente virtual de la solicitud del cargo de distribución _x000a_por uso del sistema de distribución, para el mercado relevante conformado por municipios _x000a_pertenecientes a los departamentos de Santander, Magdalena, Antioquia, Norte de Santander, Cesar _x000a_y Bolívar1_x000a_, según solicitud tarifaria presentada por la empresa GAS NATURAL DEL CESAR S.A. E.S.P. _x000a_(Expediente Apligas No. 2121 2020-08-10)"/>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3-02-2022 GNCR CREG Solicitud Acceso expediente\033-02-2022 GNCR CREG Solicitud Acceso expediente.pdf"/>
    <m/>
    <x v="3"/>
    <x v="0"/>
    <x v="1"/>
  </r>
  <r>
    <x v="96"/>
    <x v="1"/>
    <s v="Petición respetuosa para el acceso al expediente virtual del Recurso de Reposición en contra de la Resolución CREG 099 de 2021 “Por la cual se resuelven las solicitudes hechas por la Transportadora de Gas Internacional TGI S.A. E.S.P. para la aplicación del artículo 14 de la Resolución CREG 126 de 2010 en los gasoductos y estaciones de compresión que cumplieron su vida útil normativa”, resuelto mediante la Resolución CREG 231 de 2021 publicada la web de la CREG en enero 24 de 2022."/>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4-2022- Vanti GNCB Solicitud acceso expediente virtual 099\034-2022- Vanti GNCB Solicitud acceso expediente virtual 099.pdf"/>
    <m/>
    <x v="0"/>
    <x v="10"/>
    <x v="1"/>
  </r>
  <r>
    <x v="97"/>
    <x v="1"/>
    <s v="Solicitud reconocimiento como tercero interesado para intervenir en actuación administrativa_x000a_Recurso interpuesto contra la Resolución CREG 099 de 2021 “Por la cual se resuelven las solicitudes hechas _x000a_por la Transportadora de Gas Internacional TGI S.A. E.S.P. para la aplicación del artículo 14 de la Resolución _x000a_CREG 126 de 2010 en los gasoductos y estaciones de compresión que cumplieron su vida útil normativa”."/>
    <d v="2022-02-08T00:00:00"/>
    <d v="2022-02-08T00:00:00"/>
    <s v="Giovanni Fernando Suárez Garzón, identificado con cédula de ciudadanía No. 79.471.269 actuando en _x000a_nombre y representación de Vanti S.A. ESP, identificada con NIT No. 800.007.813-5 (en adelante “Vanti”), por _x000a_medio de la presente me permito solicitar el reconocimiento de la sociedad que represento como tercero _x000a_interesado para intervenir en la actuación administrativa mencionada en el asunto, en razón a que la decisión _x000a_que adopte la CREG en esta actuación, impactará de manera directa a Vanti en su condición de remitente de _x000a_TGI y comercializadora de gas natural, lo que se demuestra con los contratos que la compañía tienen suscritos _x000a_con el transportador."/>
    <m/>
    <s v="029-22-Vanti MME Comentarios PAI-PROURE"/>
    <m/>
    <x v="0"/>
    <x v="10"/>
    <x v="1"/>
  </r>
  <r>
    <x v="98"/>
    <x v="0"/>
    <s v="Respuesta Radicado No. 20222310306421 – Requerimiento de información tarifaria _x000a_periodo diciembre de 2021"/>
    <d v="2022-02-18T00:00:00"/>
    <d v="2022-02-18T00:00:00"/>
    <s v="Finalmente se adicionó la hoja “Notas Empresa” con información adicional que consideramos _x000a_pertinente para sus actividades de validación de información, de igual manera, en la plantilla_x000a_donde se reportó la información de suministro y transporte fueron incluidas nuevas columnas _x000a_con información adicional que sirva de apoyo para su análisis"/>
    <m/>
    <s v="040-02-2022-Vanti SSPD verificación tarifaria Dic21\040 Requerimiento verificación tarifaria 20222310306421 _Vanti.pdf"/>
    <m/>
    <x v="0"/>
    <x v="0"/>
    <x v="1"/>
  </r>
  <r>
    <x v="98"/>
    <x v="0"/>
    <s v="Alcance a la respuesta del Radicado No. 20222310306421 – Requerimiento de _x000a_información tarifaria periodo diciembre de 2021"/>
    <d v="2022-02-18T00:00:00"/>
    <d v="2022-02-18T00:00:00"/>
    <s v="De acuerdo con lo anterior, en los mercados relevantes de El Rosal, La Calera y La Mesa, para el mes de agosto, septiembre y octubre de 2021, no se acumuló una variaciónmayor al 3% en los índices _x000a_de precios de la fórmula tarifaria, por lo tanto, en estos mercados no se actualizó la tarifa"/>
    <m/>
    <s v="048 Alcance a la respuesta del radicado SSPD 20222310306421 _Vanti\048 Alcance a la respuesta del radicado SSPD 20222310306421 _Vanti.pdf"/>
    <m/>
    <x v="0"/>
    <x v="0"/>
    <x v="1"/>
  </r>
  <r>
    <x v="99"/>
    <x v="2"/>
    <s v="Fondo de Solidaridad y Redistribución de Ingresos – Conciliación IV trimestre _x000a_de 2021."/>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6-01-2022 MME Conciliacion Subsidios y Contribuciones IV TRIM\016-01-2022 REPORTE FONDO DE SOLIDARIDAD GNCR SA ESP.pdf"/>
    <m/>
    <x v="3"/>
    <x v="10"/>
    <x v="1"/>
  </r>
  <r>
    <x v="99"/>
    <x v="2"/>
    <s v="Fondo de Solidaridad y Redistribución de Ingresos – Conciliación IV trimestre _x000a_de 2021."/>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7-01-2022 MME Conciliacion Subsidios y Contribiciones IV TRIM\017-01-21-REPORTE FONDO DE SOLIDARIDAD VANTI SA ESP.pdf"/>
    <m/>
    <x v="0"/>
    <x v="10"/>
    <x v="1"/>
  </r>
  <r>
    <x v="99"/>
    <x v="2"/>
    <s v="Fondo de Solidaridad y Redistribución de Ingresos – Conciliación IV trimestre _x000a_de 2021."/>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8-01-2022 MME Conciliacion Subsidios y Contribuciones IV Trim\018-01-2022-REPORTE FONDO DE SOLIDARIDAD GNCB SA ESP.pdf"/>
    <m/>
    <x v="1"/>
    <x v="10"/>
    <x v="1"/>
  </r>
  <r>
    <x v="99"/>
    <x v="2"/>
    <s v="Fondo de Solidaridad y Redistribución de Ingresos – Conciliación IV trimestre _x000a_de 2021."/>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9-01-2022 MME Conciliacion Subsidios y Contribucion IV Trim\019-01-2022 REPORTE FONDO DE SOLIDARIDAD GOR SA ESP.pdf"/>
    <m/>
    <x v="2"/>
    <x v="10"/>
    <x v="1"/>
  </r>
  <r>
    <x v="99"/>
    <x v="1"/>
    <s v="Reporte de información de activos - Anexo 18 de la Resolución _x000a_CREG 202 de 2013"/>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1-01-2022 CREG Reporte Activos 2021_Vanti\021-01-2022 CREG Reporte Activos 2021_Vanti.pdf"/>
    <m/>
    <x v="0"/>
    <x v="0"/>
    <x v="1"/>
  </r>
  <r>
    <x v="99"/>
    <x v="1"/>
    <s v="Reporte de información de activos - Anexo 18 de la Resolución _x000a_CREG 202 de 2013"/>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2-01-2022 CREG Reporte Activos 2021_Gasoriente\022-01-2022 CREG Reporte Activos 2021_Gasoriente.pdf"/>
    <m/>
    <x v="2"/>
    <x v="0"/>
    <x v="1"/>
  </r>
  <r>
    <x v="99"/>
    <x v="1"/>
    <s v="Reporte de información de activos - Anexo 18 de la Resolución _x000a_CREG 202 de 2013"/>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3-01-2022 CREG Reporte Activos 2021_GNCB\023-01-2022 CREG Reporte Activos 2021_GNCB.pdf"/>
    <m/>
    <x v="1"/>
    <x v="0"/>
    <x v="1"/>
  </r>
  <r>
    <x v="99"/>
    <x v="1"/>
    <s v="Reporte de información de activos - Anexo 18 de la Resolución _x000a_CREG 202 de 2013"/>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4-01-2022 CREG Reporte Activos 2021_Gasnacer\024-01-2022 CREG Reporte Activos 2021_Gasnacer.pdf"/>
    <m/>
    <x v="3"/>
    <x v="0"/>
    <x v="1"/>
  </r>
  <r>
    <x v="100"/>
    <x v="0"/>
    <s v="Alcance Respuesta Radicado No. 20222310155391 – Solicitud de _x000a_información de accidentes en instalaciones internas"/>
    <d v="2022-02-03T00:00:00"/>
    <d v="2022-02-04T00:00:00"/>
    <s v="Dando alcance a la comunicación enviada a la SSPD el 28 de enero de 2022 por _x000a_parte de VANTI SA ESP en relación con accidentes en instalaciones internas, a _x000a_continuación, nos permitimos remitir detalle de los eventos por intoxicación"/>
    <m/>
    <s v="026-02-2022 Respuesta Rad 20222310155391 Solicitud de información de accidentes en instalaciones internas"/>
    <m/>
    <x v="0"/>
    <x v="0"/>
    <x v="3"/>
  </r>
  <r>
    <x v="101"/>
    <x v="0"/>
    <s v="Respuesta Radicado No. 20222310155391 – Solicitud de información de accidentes _x000a_en instalaciones internas"/>
    <d v="2022-01-28T00:00:00"/>
    <d v="2022-01-27T00:00:00"/>
    <s v="Para el detalle de los eventos por intoxicación, solicitamos un plazo adicional de cinco (5) _x000a_días hábiles, con el fin de asegurar la calidad de la información suministrada. Informamos que, de los eventos relacionados en el ítem anterior, ninguno desencadenó en _x000a_muerte. "/>
    <m/>
    <s v="020-01-2022 Respuesta Rad 20222310155391 Solicitud de información de accidentes en instalaciones internas"/>
    <m/>
    <x v="0"/>
    <x v="0"/>
    <x v="1"/>
  </r>
  <r>
    <x v="101"/>
    <x v="0"/>
    <s v="Respuesta Radicado No. 20222310155391 – Solicitud de información de accidentes en instalaciones internas"/>
    <d v="2022-01-28T00:00:00"/>
    <d v="2022-01-27T00:00:00"/>
    <s v="Dando alcance a la comunicación enviada a la SSPD el 28 de enero de 2022 por _x000a_parte de VANTI SA ESP en relación con accidentes en instalaciones internas, a _x000a_continuación, nos permitimos remitir detalle de los eventos por intoxicación"/>
    <m/>
    <s v="028-2022 Vanti CREG Solicitud de tercero interesado- 099-2021\028-2022 Vanti CREG Solicitud de tercero interesado- 099-2021.pdf"/>
    <m/>
    <x v="0"/>
    <x v="0"/>
    <x v="1"/>
  </r>
  <r>
    <x v="102"/>
    <x v="20"/>
    <s v="Solicitud de reunión coordinación Gas Natural del Cesar – TGI (ERPC que cumplen su _x000a_VUN)"/>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08-01-2022-Vanti TGI ERPC Res 202-13 y 175-21"/>
    <m/>
    <x v="0"/>
    <x v="0"/>
    <x v="1"/>
  </r>
  <r>
    <x v="102"/>
    <x v="20"/>
    <s v="Solicitud de reunión coordinación Gas Natural del Cesar – TGI (ERPC que cumplen su _x000a_VUN)"/>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09-01-2022-Gasoriente TGI ERPC Res 202-13 y 175-21 (002)"/>
    <m/>
    <x v="2"/>
    <x v="0"/>
    <x v="1"/>
  </r>
  <r>
    <x v="102"/>
    <x v="20"/>
    <s v="Solicitud de reunión coordinación Gas Natural del Cesar – TGI (ERPC que cumplen su _x000a_VUN)"/>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10-01-2022-Cundi TGI ERPC Res 202-13 y 175-21 (002)\010-2022-Cundi TGI ERPC Res 202-13 y 175-21 (002).pdf"/>
    <m/>
    <x v="1"/>
    <x v="0"/>
    <x v="1"/>
  </r>
  <r>
    <x v="102"/>
    <x v="20"/>
    <s v="Solicitud de reunión coordinación Gas Natural del Cesar – TGI (ERPC que cumplen su _x000a_VUN)"/>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11-11-2022-Gasnacer TGI ERPC Res 202-13 y 175-21"/>
    <m/>
    <x v="3"/>
    <x v="0"/>
    <x v="1"/>
  </r>
  <r>
    <x v="102"/>
    <x v="2"/>
    <s v=" Comentarios Plan de Acción 2022 Grupo Vanti "/>
    <d v="2022-01-14T00:00:00"/>
    <d v="2022-01-14T00:00:00"/>
    <s v="Comentarios al Plan de Acción de 2022, presentados para consulta de la ciudadanía al Ministerio de Minas y Energía, en particular sobre_x000a_aquellos indicadores que responsabilidad de la Dirección de Hidrocarburos. "/>
    <m/>
    <s v="013-2022-Vanti MME Comentarios PAA 2022\013-2022-Vanti MME Comentarios PAA 2022 .pdf"/>
    <m/>
    <x v="1"/>
    <x v="10"/>
    <x v="1"/>
  </r>
  <r>
    <x v="103"/>
    <x v="1"/>
    <s v="Comentarios a la Resolución CREG 223 de 2020"/>
    <d v="2022-01-13T00:00:00"/>
    <d v="2022-01-13T00:00:00"/>
    <s v="Dado que el periodo para la asignación de las OEF inicia el 1 de diciembre de 2023, es decir en _x000a_23 meses, formalmente solicitamos a la Comisión una mayor flexibilidad para la presentación de _x000a_contratos de combustible o garantías al ASIC, y que el plazo de la actividad 7 del cronograma _x000a_tenga vencimiento al menos el 30 de octubre del 2022 para el periodo 2023-2024, y del 30 de _x000a_octubre de 2023 para el periodo 2024-2025, esto es, 13 meses antes de que inicie la obligación."/>
    <m/>
    <s v="002-01-2022-Vanti-CREG-Comentarios Resolución CREG 223 de 2021\002-01-2022-Vanti-CREG-Comentarios Resolución CREG 223 de 2021.pdf"/>
    <m/>
    <x v="0"/>
    <x v="10"/>
    <x v="1"/>
  </r>
  <r>
    <x v="103"/>
    <x v="0"/>
    <s v="Alcance a la respuesta del comunicado No. 20212035332831 del 12 de noviembre de 2021"/>
    <d v="2022-01-13T00:00:00"/>
    <d v="2022-01-13T00:00:00"/>
    <s v="Vanti S.A. ESP se permite dar alcance a la respuesta del comunicado del asunto enviado el 17 de diciembre de _x000a_2021 con número radicado 20215294024772, en el cual se solicita la reversión voluntaria del reporte de los _x000a_Estados financieros para la vigencia 2020._x000a_Lo anterior, en virtud que se realizó un ajuste en el formato [900019] FC02 - Complementario ingresos, en el que _x000a_se excluyó los ingresos reportados como Otros en la actividad de transporte y se asociaron al concepto Otros de _x000a_la actividad de comercialización de gas combustible por redes"/>
    <m/>
    <s v="004 -01-2022 Alcance_Solicitud modificación de información SUI - Estados Financieros 2020_Vanti\004-01-2022  Alcance_Solicitud modificación de información SUI - Estados Financieros 2020_Vanti.pdf"/>
    <m/>
    <x v="0"/>
    <x v="0"/>
    <x v="1"/>
  </r>
  <r>
    <x v="103"/>
    <x v="0"/>
    <s v="Alcance a la respuesta del comunicado No. 20212035332831 del 12 de noviembre de 2021"/>
    <d v="2022-01-13T00:00:00"/>
    <d v="2022-01-13T00:00:00"/>
    <s v="Gas Natural del oriente S.A. ESP se permite dar alcance a la respuesta del comunicado del asunto enviado el _x000a_17 de diciembre de 2021 con número radicado 20215294023362, en el cual se solicita la reversión voluntaria _x000a_del reporte de los Estados financieros para la vigencia 2020._x000a_Lo anterior, en virtud que se realizó un ajuste en el formato [900019] FC02 - Complementario ingresos, en el _x000a_que se excluyó los ingresos reportados como Otros en la actividad de transporte y se asociaron al concepto _x000a_Otros de la actividad de comercialización de gas combustible por redes."/>
    <m/>
    <s v="005-01-2022 Alcance_Solicitud modificación de información SUI - Estados Financieros 2020_Gasoriente"/>
    <m/>
    <x v="3"/>
    <x v="0"/>
    <x v="1"/>
  </r>
  <r>
    <x v="103"/>
    <x v="0"/>
    <s v="Alcance a la respuesta del comunicado No. 20212035327651 del 12 de noviembre de 2021"/>
    <d v="2022-01-13T00:00:00"/>
    <d v="2022-01-13T00:00:00"/>
    <s v="Gas Natural Cundiboyacense S.A. ESP se permite dar alcance a la respuesta del comunicado del asunto enviado _x000a_el 17 de diciembre de 2021 con número radicado 20215294024382, en el cual se solicita la reversión voluntaria _x000a_del reporte de los Estados financieros para la vigencia 2020._x000a_Lo anterior, en virtud que se realizó un ajuste en el formato [900019] FC02 - Complementario ingresos, en el _x000a_que se excluyó los ingresos reportados como Otros en la actividad de transporte y se asociaron al concepto _x000a_Otros de la actividad de comercialización de gas combustible por redes."/>
    <m/>
    <s v="006-01-2022 Alcance_Solicitud modificación de información SUI - Estados Financieros 2020_Cundi\006-01-2022 Alcance_Solicitud modificación de información SUI - Estados Financieros 2020_Cundi.pdf"/>
    <m/>
    <x v="1"/>
    <x v="0"/>
    <x v="1"/>
  </r>
  <r>
    <x v="103"/>
    <x v="0"/>
    <s v="Alcance a la respuesta del comunicado No. 20212035332811 del 12 de noviembre de 2021"/>
    <d v="2022-01-13T00:00:00"/>
    <d v="2022-01-13T00:00:00"/>
    <s v="Gas Natural del Cesar S.A. ESP se permite dar alcance a la respuesta del comunicado del asunto enviado el 17 _x000a_de diciembre de 2021 con número radicado 20215294024382, en el cual se solicita la reversión voluntaria del _x000a_reporte de los Estados financieros para la vigencia 2020._x000a_Lo anterior, para informar que la totalidad de los ingresos asociados a la actividad de distribución y _x000a_comercialización reportados en el formato [900019] FC02 - Complementario ingresos se han reportado en el _x000a_concepto Otros en la actividad de Comercialización."/>
    <m/>
    <s v="007-01-2022 Alcance_Solicitud modificación de información SUI - Estados Financieros 2020_Gasnacer"/>
    <m/>
    <x v="1"/>
    <x v="0"/>
    <x v="1"/>
  </r>
  <r>
    <x v="104"/>
    <x v="1"/>
    <s v="Solicitud respuesta a comunicación Radicado CREG E-2021-00480"/>
    <d v="2022-01-12T00:00:00"/>
    <d v="2022-01-12T00:00:00"/>
    <s v="El día 28 de abril de 2021 enviamos la comunicación del asunto, mediante la cual consultamos sobre la inclusión de recursos públicos provenientes del Fondo Especial Cuota de Fomento, o de otras fuentes de recursos públicos y la aplicación del cargo de distribución para las veredas mencionadas en la comunicación del Municipio al que pertenecen y la integración en el próximo período tarifario al mercado existente."/>
    <m/>
    <s v="012-01-22-GNC CREG Solicitud respuesta concepto recursos públicos Gas Nacer\012-01-22-GNC CREG Solicitud respuesta concepto recursos públicos Gas Nacer.pdf"/>
    <m/>
    <x v="3"/>
    <x v="10"/>
    <x v="1"/>
  </r>
  <r>
    <x v="105"/>
    <x v="1"/>
    <s v="Comentarios a la Resolución CREG 235 de 2020"/>
    <d v="2022-01-03T00:00:00"/>
    <d v="2022-01-03T00:00:00"/>
    <s v="La productividad ha representado a la fecha una reducción en el cargo a trasladar a precios constantes del 23% respecto a los cargos aprobados, se solicita a la Comisión que en la metodología definitiva, próxima a expedirse, se incluya un artículo en el que se especifique que desde la fecha de entrada en vigencia de la resolución no se siga acumulando la aplicación del factor de productividad de la Resolución CREG 011 de 2003._x000a__x000a_ "/>
    <m/>
    <s v="001-2022-Vanti-CREG-Comentarios Resolución CREG 235 de 2021\001-2022-Vanti-CREG-Comentarios Resolución CREG 235 de 2021.pdf"/>
    <m/>
    <x v="0"/>
    <x v="10"/>
    <x v="1"/>
  </r>
  <r>
    <x v="105"/>
    <x v="0"/>
    <s v="Respuesta Radicado No. 20212316391501 – Requerimiento de información tarifaria _x000a_periodo noviembre de 2021"/>
    <d v="2022-01-18T00:00:00"/>
    <d v="2022-01-18T00:00:00"/>
    <s v=" se solicita información en relación _x000a_con las facturas de suministro y transporte e información tarifaria para el periodo de noviembre_x000a_de 2021"/>
    <m/>
    <s v="014-2022-Vanti SSPD Verificación Tarifaria Nov\014-01-2021Respuesta SSPD Radicado 20212316391501_Vanti.pdf"/>
    <m/>
    <x v="0"/>
    <x v="0"/>
    <x v="1"/>
  </r>
  <r>
    <x v="106"/>
    <x v="0"/>
    <s v="Respuesta al radicado No. 20212316317961, recibido el 29 de diciembre de 2021. Declaración de _x000a_fuerza mayor en Puerto Wilches el 30 de noviembre de 2021."/>
    <d v="2022-01-05T00:00:00"/>
    <d v="2022-01-04T00:00:00"/>
    <s v="En atención al evento de suspensión del servicio de gas natural domiciliario en el municipio de Puerto Wilches, _x000a_comunicado por parte de Gasoriente S.A. ESP a la SSPD el día 1 de diciembre de 2021"/>
    <m/>
    <s v="003-01-2022 Respuesta al radicado No. 20212316317961  Puerto Wilches\003-01-2022 Respuesta al radicado No. 20212316317961  Puerto Wilches.pdf"/>
    <m/>
    <x v="2"/>
    <x v="0"/>
    <x v="1"/>
  </r>
  <r>
    <x v="107"/>
    <x v="11"/>
    <s v="Comentarios demanda Transmilenio "/>
    <d v="1906-08-24T00:00:00"/>
    <d v="1906-08-24T00:00:00"/>
    <s v="En este gasoducto se proyecta una caída importante de la demanda a partir de 2026, pasando de aprox. 55 MPCD a 17 MPCD. Si bien se pueden estar dando señales de la construcción de otro tramo que conectaría a Jobo con Medellín, este aún no se ha concretado y no hay certeza de su ejecución, ni en qué punto del SNT se conectaría. Por lo tanto, la proyección de demanda en este gasoducto debería mantenerse e inclusive incrementar de acuerdo con las proyecciones de la UPME para la región del Noroeste del país."/>
    <s v="Comentaios\Comentarios_demandasTransmetano.xlsx"/>
    <m/>
    <m/>
    <x v="0"/>
    <x v="10"/>
    <x v="1"/>
  </r>
  <r>
    <x v="17"/>
    <x v="0"/>
    <s v="Propuestas para el Plan Nacional de Desarrollo 2022-2026"/>
    <m/>
    <m/>
    <m/>
    <m/>
    <s v="X:\CONSECUTIVOS\2022\Regulacion\131\131-09-2022 Propuestas para el Plan Nacional de Desarrollo 2022-2026.pdf"/>
    <m/>
    <x v="0"/>
    <x v="15"/>
    <x v="2"/>
  </r>
  <r>
    <x v="17"/>
    <x v="11"/>
    <m/>
    <m/>
    <m/>
    <m/>
    <m/>
    <m/>
    <m/>
    <x v="5"/>
    <x v="14"/>
    <x v="4"/>
  </r>
  <r>
    <x v="17"/>
    <x v="11"/>
    <m/>
    <m/>
    <m/>
    <m/>
    <m/>
    <m/>
    <m/>
    <x v="5"/>
    <x v="14"/>
    <x v="4"/>
  </r>
  <r>
    <x v="17"/>
    <x v="11"/>
    <m/>
    <m/>
    <m/>
    <m/>
    <m/>
    <m/>
    <m/>
    <x v="5"/>
    <x v="14"/>
    <x v="4"/>
  </r>
  <r>
    <x v="17"/>
    <x v="11"/>
    <m/>
    <m/>
    <m/>
    <m/>
    <m/>
    <m/>
    <m/>
    <x v="5"/>
    <x v="14"/>
    <x v="4"/>
  </r>
  <r>
    <x v="17"/>
    <x v="11"/>
    <m/>
    <m/>
    <m/>
    <m/>
    <m/>
    <m/>
    <m/>
    <x v="5"/>
    <x v="14"/>
    <x v="4"/>
  </r>
  <r>
    <x v="17"/>
    <x v="11"/>
    <m/>
    <m/>
    <m/>
    <m/>
    <m/>
    <m/>
    <m/>
    <x v="5"/>
    <x v="14"/>
    <x v="4"/>
  </r>
  <r>
    <x v="17"/>
    <x v="11"/>
    <m/>
    <m/>
    <m/>
    <m/>
    <m/>
    <m/>
    <m/>
    <x v="5"/>
    <x v="14"/>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1">
  <r>
    <x v="0"/>
    <x v="0"/>
    <x v="0"/>
    <d v="2023-06-21T00:00:00"/>
    <m/>
    <s v="Zoraida Tijo Prieto está inconforme con el consumo facturado en su cuenta No 61499606 para el periodo Dic 2022-Ene 2023. El consumo se incrementó al doble de su valor habitual. Solicita que se revise el valor real y se ajuste para proceder con el pago. Tomó una foto del contador y la lectura es diferente a la facturada. Espera respuesta y solución en términos de la Ley 755 de 2015. //// El usuario tiene 5 días hábiles para interponer recursos después de la notificación. Si el prestador concede el recurso de apelación, debe remitir el expediente a la Superintendencia en 3 días. No es procedente cobrar valores en reclamación y no se puede suspender el servicio por no pago de estos valores. El prestador no debe exigir al usuario que solicite una certificación del estado del trámite del recurso de apelación. El prestador debe indicar al usuario los valores que deben cancelar y suministrar la factura provisional para evitar la suspensión del servicio."/>
    <s v="106_06_2023_SSPD VANTI_S-2023-137807_GRUPO_VANTI_S.A._ESP"/>
    <m/>
    <m/>
    <x v="0"/>
    <x v="0"/>
    <s v="pendiente"/>
    <d v="2023-06-15T00:00:00"/>
  </r>
  <r>
    <x v="1"/>
    <x v="0"/>
    <x v="1"/>
    <d v="2023-06-22T00:00:00"/>
    <m/>
    <s v="El usuario con cuenta contrato No. 2127105 presentó una solicitud de silencio administrativo positivo respecto de una petición interpuesta por William German Leguizamo Montañez. Se solicita información para establecer el mérito para dar inicio a la actuación administrativa. Se otorgan cinco días hábiles al prestador requerido para atender el envío de la información."/>
    <s v="104_06_2023_SSPD Vanti_20238001108921"/>
    <m/>
    <m/>
    <x v="0"/>
    <x v="1"/>
    <s v="pendiente"/>
    <d v="2023-06-14T00:00:00"/>
  </r>
  <r>
    <x v="1"/>
    <x v="0"/>
    <x v="2"/>
    <d v="2023-06-22T00:00:00"/>
    <m/>
    <s v="El usuario con cuenta contrato No. 2127105 presentó una solicitud de silencio administrativo positivo respecto de una petición interpuesta por Julio Castellanos Castellanos. Se solicita información para establecer el mérito para dar inicio a la actuación administrativa. Se otorgan cinco días hábiles al prestador requerido para atender el envío de la información."/>
    <s v="105_06_2023_SSPD VANTI_20238001109091"/>
    <m/>
    <m/>
    <x v="0"/>
    <x v="1"/>
    <s v="pendiente"/>
    <d v="2023-06-14T00:00:00"/>
  </r>
  <r>
    <x v="2"/>
    <x v="1"/>
    <x v="3"/>
    <d v="2023-06-23T00:00:00"/>
    <m/>
    <s v="Se solicita información complementaria para analizar el estudio presentado, incluyendo tarifas de transporte, inversión estimada, explicación detallada de la reducción del gas de Cusiana y supuestos de tarifas para el sistema de transporte de Promigas. Se pide una presentación o socialización del estudio y una ampliación del plazo para enviar comentarios. // Comentarios al documento de TGI S.A. E.S.P. de agregación de tramos"/>
    <s v="98_06_2023_VANTI CREG_Solicitud estudio TGI"/>
    <m/>
    <s v="103_06_2023_Anexo_Primeros Comentarios a estudio TGI"/>
    <x v="0"/>
    <x v="2"/>
    <s v="pendiente"/>
    <m/>
  </r>
  <r>
    <x v="3"/>
    <x v="0"/>
    <x v="4"/>
    <d v="2023-06-07T00:00:00"/>
    <d v="2023-06-07T00:00:00"/>
    <s v="Se reportan las incidencias (10150500 -019 – 2023)hasta el mes de Febrero en relacion anuevos lineamientos y errores al cargue de los formatos:_x000a_GRTT2_x000a_GRCS1_x000a_GRCS3_x000a_GRCS7_x000a_GRCS9_x000a_GRCS8_x000a_GRT1"/>
    <s v="19_02_2023_VANTI SSPD_Incidencias Nuevo SUI feb 2023"/>
    <s v="19_06_2023_SSPD VANTI_RTA_20232031563011"/>
    <s v="19_02_2023_Anexo Envio VANTI SSPD_Incidencias presentadas en la semana del 13 al 17 de febrero de 2023 en el aplicativo SUI"/>
    <x v="0"/>
    <x v="3"/>
    <s v="A Tiempo"/>
    <m/>
  </r>
  <r>
    <x v="4"/>
    <x v="1"/>
    <x v="5"/>
    <d v="2023-06-20T00:00:00"/>
    <m/>
    <s v="La CREG ha emitido un proyecto de resolución para promover el cumplimiento de la regulación de GLP. El proyecto incluye un nuevo parámetro para calcular la capacidad de compra del distribuidor de GLP, siempre y cuando cumpla con el registro de información en el SUI. Si no se realiza el reporte en el SUI, no se podrá calcular la capacidad de compra con el nuevo parámetro."/>
    <m/>
    <m/>
    <m/>
    <x v="0"/>
    <x v="4"/>
    <s v="pendiente"/>
    <m/>
  </r>
  <r>
    <x v="5"/>
    <x v="0"/>
    <x v="6"/>
    <d v="2023-05-30T00:00:00"/>
    <m/>
    <s v="Se realiza un requerimiento de multiples puntos, con fecha limite a reportar del 30 de Mayo, esto con intencion de realizar una visita la segunda semana de Juniopara &quot;la evaluación integral de prestación del servicio para el año 2022&quot;. Se esta gestionando sobre el tiempo debido a que el area que recepciono nos notifico &quot;Tarde&quot; la información."/>
    <s v="97_06_2023_SSPD Vanti_20232311630251"/>
    <m/>
    <s v="97_06_2023_Visita de Evaluacion Integral de la vigencia 2022_20232312038101"/>
    <x v="0"/>
    <x v="1"/>
    <s v="pendiente"/>
    <d v="2023-05-08T00:00:00"/>
  </r>
  <r>
    <x v="5"/>
    <x v="1"/>
    <x v="7"/>
    <d v="2023-06-05T00:00:00"/>
    <d v="2023-06-05T00:00:00"/>
    <s v="De conformidad con lo establecido en el literal C del artículo 5.1.1 de la Resolución CREG 137 de 2013, remitimos la información de consumos históricos diarios de los usuarios regulados del mercado relevante conformado por los municipios de Bogotá, Soacha y Sibaté, atendido por la empresa Vanti S.A. ESP para la vigencia 2022"/>
    <s v="93_06_2023_Vanti_Creg_Informacion Resolucion CREG 137 de 2013"/>
    <m/>
    <s v="93_06_2023_Anexo certificado_Informacion_Resolucion_CREG_137_de_2013_1686064733666"/>
    <x v="0"/>
    <x v="1"/>
    <s v="A Tiempo"/>
    <d v="2023-06-05T00:00:00"/>
  </r>
  <r>
    <x v="5"/>
    <x v="1"/>
    <x v="8"/>
    <d v="2023-06-05T00:00:00"/>
    <d v="2023-06-05T00:00:00"/>
    <s v="De conformidad con lo establecido en el literal C del artículo 5.1.1 de la Resolución CREG 137 de 2013, remitimos la información de consumos históricos diarios de los usuarios regulados del mercado relevante conformado por los municipios de Boyacá, Cundinamarca y Santander, atendido por la empresa Gas Natural Cundiboyacense S.A. ESP para la vigencia 2022."/>
    <s v="94_06_2023_GNCB_CREG_Informacion Resolucion CREG 137 de 2013 "/>
    <m/>
    <s v="94_06_2023_Anexo certificado_RV__Informacion_Resolucion_CREG_137_de_2013_1686064742271"/>
    <x v="1"/>
    <x v="1"/>
    <s v="A Tiempo"/>
    <d v="2023-06-05T00:00:00"/>
  </r>
  <r>
    <x v="5"/>
    <x v="0"/>
    <x v="9"/>
    <d v="2023-06-05T00:00:00"/>
    <d v="2023-06-06T00:00:00"/>
    <s v="La SSPD recibió comunicaciones de TGI aceptando la prórroga del Contrato CO&amp;M-08-20 y remitiendo a GASCUNDI el borrador del Otrosí No. 1 para su revisión. La DTGGC requiere a GASCUNDI para que aporte información sobre la construcción de la ERPC en Tuta-Boyacá y si su postergación afecta la prestación del servicio en ese municipio. //Remito Requerimiento información sobre la construcción de la ERPC en el municipio de Tuta. Radicados No. SSPD 20235291220952 y SSPD 20235291223742, ambas de fecha 29 de marzo de 2023"/>
    <s v="96_06_2023_SSPD_Requerimiento_20232311718731"/>
    <s v="96_06_2023_VANTI SSPD_RTA_10153620-1444-2023 Respuesta Radicado No 20232311718731 SSDP ERPC Tuta"/>
    <m/>
    <x v="1"/>
    <x v="1"/>
    <s v="Retrasado"/>
    <d v="2023-06-05T00:00:00"/>
  </r>
  <r>
    <x v="5"/>
    <x v="1"/>
    <x v="10"/>
    <d v="2023-06-05T00:00:00"/>
    <m/>
    <s v="se ordena realizar una auditoría a la información declarada por TGI S.A. E.S.P. en_x000a_relación con la Capacidad Máxima de Mediano Plazo (CMMP) y el gas de_x000a_empaquetamiento de los gasoductos operados por el transportador."/>
    <s v="95_06_2023_CREG_Comunicado_S2023002746"/>
    <m/>
    <s v="95_06_2023_Auto_Pruebas CREG VANTI_20230000041_EXP_20220001"/>
    <x v="0"/>
    <x v="1"/>
    <s v="pendiente"/>
    <m/>
  </r>
  <r>
    <x v="5"/>
    <x v="0"/>
    <x v="11"/>
    <d v="2023-06-07T00:00:00"/>
    <m/>
    <s v="Usuario presentó una solicitud de silencio administrativo positivo respecto a las peticiones radicadas en sede empresarial de la señora PATRICIA AGUIRRE GAITAN. Para establecer el mérito de la actuación administrativa, se solicita información y pruebas relacionadas con la petición y su respuesta."/>
    <s v="91_06_2023_SSPD_Vanti_20238001884641"/>
    <m/>
    <m/>
    <x v="0"/>
    <x v="1"/>
    <s v="pendiente"/>
    <s v="07/062023"/>
  </r>
  <r>
    <x v="6"/>
    <x v="1"/>
    <x v="12"/>
    <d v="2023-06-07T00:00:00"/>
    <d v="2023-06-05T00:00:00"/>
    <s v="La Comisión de Regulación de Energía y Gas (CREG) solicitó a GAS NATURAL DEL ORIENTE S.A. E.S.P. que presentara ciertos documentos e información relacionados con su solicitud tarifaria. Se otorgó un plazo de cinco días hábiles para responder, pero la Comisión no ha recibido respuesta. Si el requerimiento no se cumple o se cumple de manera incompleta, se podrá decretar su desistimiento y el archivo de la solicitud."/>
    <s v="90_06_2023_Creg_Vanti_RtaRequerimiento_ S2023002686"/>
    <s v="90_06_2023_Vanti_Creg_Reiteración RTA Radicado CREG S2023002686"/>
    <s v="90_06_2023_Anexo CertificadoRV__Segunda_respuesta_Radicado_CREG_S2023002686___Reiteracion_requerimiento_para_completar_informaci_168606465214"/>
    <x v="2"/>
    <x v="1"/>
    <s v="A Tiempo"/>
    <d v="2023-06-07T00:00:00"/>
  </r>
  <r>
    <x v="7"/>
    <x v="1"/>
    <x v="13"/>
    <d v="2023-06-13T00:00:00"/>
    <m/>
    <s v="La creg responde a comunicación con radicado CREG E2023006005. Solicitud Acceso_x000a_expediente 2022 – 0063 donde se solicita a Transmetano compartir informacion o dar una explicacion de las motivaciones para la confidencialidad de la información, siendo la CREG mediador, habilita una carpeta compartida llamada &quot;2022-0063. Información Pública&quot; que sera compartida con reportesregulacion@grupovanti.com y gsuarez@grupovanti.com"/>
    <s v="87_05_2023_RTA CREG_10335212 - 0 SP"/>
    <m/>
    <s v="87_05_2023_Anexo CREG_10335212  - 0 RE"/>
    <x v="0"/>
    <x v="2"/>
    <s v="pendiente"/>
    <d v="2023-05-25T00:00:00"/>
  </r>
  <r>
    <x v="8"/>
    <x v="2"/>
    <x v="14"/>
    <m/>
    <m/>
    <s v="Vanti solicita extemporaneidad en SISEG con el fin de validar y realizar los ajustes pertinentes a la conciliación correspondiente al 4-2022, a lo que el MME replica &quot;Reiteramos que los subsidios solicitados por las empresas no podrán ser girados a los prestadores del servicio que no hayan cargado y certificado la información requerida por el Sistema Único de Información, SUI.&quot;"/>
    <s v="85_05_2023_Comunicado a Vanti_20233102014838 (002)"/>
    <s v="022-0065"/>
    <s v="85_05_2023_Anexo_RV MINENERGIA Registro radicado 2-2023-014838"/>
    <x v="0"/>
    <x v="5"/>
    <s v="pendiente"/>
    <d v="2023-05-29T00:00:00"/>
  </r>
  <r>
    <x v="9"/>
    <x v="3"/>
    <x v="15"/>
    <d v="2023-11-15T00:00:00"/>
    <m/>
    <s v="Se notifica y asigna el monto a pagar por concepto de concurso economico desde la alcaldia de Soacha, anexando cuenta de cobro y certificado de cuenta bancaria para las correspondientes cuotas."/>
    <s v="VANTI RESOLUCION  0722 DEL 18 DE MAYO 2023"/>
    <m/>
    <s v="RV NOTIFICACIÓN CONCURSO ECONÓMICO"/>
    <x v="0"/>
    <x v="6"/>
    <s v="pendiente"/>
    <d v="2023-05-26T00:00:00"/>
  </r>
  <r>
    <x v="10"/>
    <x v="3"/>
    <x v="16"/>
    <d v="2023-06-05T00:00:00"/>
    <d v="2023-06-05T00:00:00"/>
    <s v="Requiere informacion detallada para atender la solicitud hecha en relacion a informacion de los punto 1 al 4 del documento para la ciudad de Soacha."/>
    <s v="81_05_2023_VANTI_10283596   - 0  SP"/>
    <s v="81_05_2023_Correo de Escalamiento_RE URG_VIP 1 DÍA RV Reporte de Prestación del Servicio de Gas Natural en el Municipio de Soacha  TICKET 10283596"/>
    <m/>
    <x v="0"/>
    <x v="1"/>
    <s v="A Tiempo"/>
    <d v="2023-05-24T00:00:00"/>
  </r>
  <r>
    <x v="11"/>
    <x v="4"/>
    <x v="17"/>
    <d v="2023-06-01T00:00:00"/>
    <m/>
    <s v="Se adjunta cuenta de cobro correspondiente a la contribucion de vigencia 2023 para el municipio de Bucaramanga"/>
    <s v="78_05_2023_Alcaldia Bucaramanga_01823CR0003586"/>
    <m/>
    <m/>
    <x v="2"/>
    <x v="1"/>
    <s v="pendiente"/>
    <d v="2023-05-17T00:00:00"/>
  </r>
  <r>
    <x v="12"/>
    <x v="0"/>
    <x v="18"/>
    <d v="2023-05-31T00:00:00"/>
    <d v="2023-05-29T00:00:00"/>
    <s v=" Se ha cumplido con lo ordenado en una resolución y no proceden recursos de la vía gubernativa. Se adjunta copia de un acto administrativo./// SSPD da replica resolviendo que el sr JAVIER JOSE PLATA NUÑEZ mediante decisión No. 5305438 – 63295956_x000a_de fecha 15 de diciembre de 2021 tiene en su reclamacion valides."/>
    <s v="77_05_2023_Resuelve Recurso DP SSPD_20238400204385.pdf-2"/>
    <s v="77_05_2023_Correo de Escalamiento_RV Notificación electrónica radicado entrada No 20235291792862"/>
    <s v="77_05_2023_Anexo Caso RTA GOR DP_10134859 - 63295956"/>
    <x v="2"/>
    <x v="1"/>
    <s v="Retrasado"/>
    <d v="2023-05-17T00:00:00"/>
  </r>
  <r>
    <x v="13"/>
    <x v="4"/>
    <x v="19"/>
    <d v="2023-05-20T00:00:00"/>
    <m/>
    <s v="Por medio del presente comparto derecho de petición recibida por la JAL de Bucaramanga, donde nos solicitan:_x000a__x000a__x000a_1. ¿A partir de cuándo es el desmonte del subsidio del gas natural de Bucaramanga?_x000a_2. ¿Cuál es el precio del alza al servicio dl gas natural?_x000a_3. ¿Cómo se calcula el promedio del consumo?"/>
    <s v="75_05_2023_Alcaldia de Bucaramanga_Proposición Vanti"/>
    <m/>
    <m/>
    <x v="0"/>
    <x v="1"/>
    <s v="pendiente"/>
    <d v="2023-05-20T00:00:00"/>
  </r>
  <r>
    <x v="14"/>
    <x v="5"/>
    <x v="20"/>
    <d v="2023-05-12T00:00:00"/>
    <d v="2023-05-12T00:00:00"/>
    <s v="certificar que la información del reporte relacionado con el incidente del usuario MARÍA DE LAS NIEVES GÓMEZ MAYORIANO,con número de contrato 63436377 presentado el 9 de mayo de 2023 en el inmueble ubicado en calle 60B No 36E 23 en la ciudad de Barrancabermeja, Santander, ha sido debidamente verificado y no se encontraron desviaciones en la información allí contenida."/>
    <s v="76_05_2023_Certificación de incidentes Gas Natural del Oriente"/>
    <m/>
    <m/>
    <x v="2"/>
    <x v="7"/>
    <s v="A Tiempo"/>
    <d v="2023-05-12T00:00:00"/>
  </r>
  <r>
    <x v="13"/>
    <x v="0"/>
    <x v="21"/>
    <d v="2023-05-29T00:00:00"/>
    <d v="2023-05-29T00:00:00"/>
    <s v="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Se hace una solicitud de ampliacion en los plazos de entrega (adjunto) // se radica con asunto &quot;Notificación electrónica radicado entrada No 20235291789202&quot;"/>
    <s v="70_05_2023_SSPD GNCB_20232311641121"/>
    <s v="83_05_2023_GNCB RTA_E_Requerimiento No  20232311641121 - GNCB"/>
    <s v="70_05_2023_GNCB_Solicitud Ampliación Plazo Requerimiento de información – Resolución CREG 033 de 2015 20232311641121"/>
    <x v="1"/>
    <x v="1"/>
    <s v="A Tiempo"/>
    <d v="2023-05-15T00:00:00"/>
  </r>
  <r>
    <x v="13"/>
    <x v="0"/>
    <x v="22"/>
    <d v="2023-05-29T00:00:00"/>
    <d v="2023-05-29T00:00:00"/>
    <s v="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 //Se hace una solicitud de ampliacion en los plazos de entrega (adjunto) // se radica con asunto &quot;Notificación electrónica radicado entrada No 20235291789292&quot;"/>
    <s v="69_05_2023_SSPD GOR__20232311640301"/>
    <s v="84_05_2023_GOR RTA_Respuesta Radicado No. 20232311640301- GASORIENTE"/>
    <s v="69_05_2023_GOR_Solicitud Ampliación Plazo Requerimiento de información – Resolución CREG 033 de 2015 20232311640301"/>
    <x v="2"/>
    <x v="1"/>
    <s v="A Tiempo"/>
    <d v="2023-05-16T00:00:00"/>
  </r>
  <r>
    <x v="13"/>
    <x v="0"/>
    <x v="23"/>
    <d v="2023-05-25T00:00:00"/>
    <d v="2023-05-25T00:00:00"/>
    <s v="La SSPD requiere que se remita la presión manométrica utilizada para calcular el Factor de corrección por presión Kp en un formato Excel para los meses entre enero de 2020 y diciembre de 2022, indicando la unidad de medida de presión utilizada y para cada uno de los suscriptores-NIU relacionados en el archivo Excel adjunto // Se hace una solicitud de ampliacion en los plazos de entrega (adjunto)"/>
    <s v="68_05_2023_SSPD VANTI_20232311639401"/>
    <s v="82_05_2023_Requerimiento de información - Resolución CREG 033 de 2015 VANTI (003)"/>
    <s v="68_05_2023_VANTI_Solicitud Ampliación Plazo Req 20232311639401"/>
    <x v="0"/>
    <x v="1"/>
    <s v="A Tiempo"/>
    <d v="2023-05-16T00:00:00"/>
  </r>
  <r>
    <x v="15"/>
    <x v="2"/>
    <x v="24"/>
    <d v="2023-05-15T00:00:00"/>
    <d v="2023-05-15T00:00:00"/>
    <s v="N/A Respuesta._x000a_Por la cual se ordena el giro, para cubrir subsidios por_x000a_menores tarifas, a las empresas del sector gas combustible domiciliario por red,_x000a_correspondientes a pago parcial del primer trimestre de 2023"/>
    <s v="67_05_2023_MME_100_Resol. 00420 del 12 de mayo de 2023 PP 1-2023"/>
    <m/>
    <s v="67_05_2023_Anexo Hilo Correo_RV Resolución reconocimiento del PP 1-2023 FSSRI GAS"/>
    <x v="0"/>
    <x v="5"/>
    <s v="A Tiempo"/>
    <d v="2023-05-15T00:00:00"/>
  </r>
  <r>
    <x v="15"/>
    <x v="6"/>
    <x v="25"/>
    <d v="2023-05-15T00:00:00"/>
    <d v="2023-05-30T00:00:00"/>
    <s v="acta 15, solicitud información para liquidación concurso económico."/>
    <s v="05_2023_Duitama_CONCURSO ECONOMICO"/>
    <m/>
    <s v="05_2023_Anexo Concurso Economico_ACTA 15"/>
    <x v="0"/>
    <x v="6"/>
    <s v="Retrasado"/>
    <d v="2023-05-15T00:00:00"/>
  </r>
  <r>
    <x v="15"/>
    <x v="7"/>
    <x v="26"/>
    <d v="2023-05-30T00:00:00"/>
    <d v="2023-05-31T00:00:00"/>
    <s v="Valores Bancolombia S.A. Comisionista de Bolsa celebra un contrato de administración de valores con sus clientes para ordenar operaciones en el Registro Nacional de Valores y Emisores (RNVE). La realización de operaciones sobre títulos cuya inscripción en el RNVE haya sido cancelada no es una práctica autorizada legalmente. Se requiere la entrega de GAS NATURAL S.A. E.S.P. TITULOS DE RV NO LISTADOS al cliente o al emisor y solicita puntos (Consultar Hipervinculo)_x000a_"/>
    <s v="65_05_2023_BANCOLOMBIA_GAS NATURAL S.A.  E.S.P"/>
    <s v="https://grupovanti.sharepoint.com/:u:/r/sites/GerenciadeRegulacin/Shared%20Documents/General/2023/Regulaci%C3%B3n/66_05_2023_BANCOLOMBIA_GAS%20NATURAL%20S.A.%20%20E.S.P/66_05_2023_RE%20SOLICITUD%20PROCEDIMIENTO%20PARA%20EL%20MANEJO%20DE%20TITULOS%20NO%20LISTADOS%20EN%20EL%20RNVE.msg?csf=1&amp;web=1&amp;e=fIf9rT"/>
    <s v="66_05_2023_REENVIO_RV SOLICITUD PROCEDIMIENTO PARA EL MANEJO DE TITULOS NO LISTADOS EN EL RNVE"/>
    <x v="0"/>
    <x v="2"/>
    <s v="Retrasado"/>
    <d v="2023-05-15T00:00:00"/>
  </r>
  <r>
    <x v="16"/>
    <x v="8"/>
    <x v="27"/>
    <d v="2023-05-15T00:00:00"/>
    <d v="2023-05-15T00:00:00"/>
    <s v="Vanti S.A. E.S.P., solicita autorización para acceder y revisar información reservada en el expediente tarifario de la Comisión de la CREG. La intención es analizar las tarifas solicitadas por TGI, el valor de las inversiones propuestas, el gasto total de AOM solicitado, las propuestas para la agregación de tramos y peticiones con requerimientos especiales._x000a_Asunto RTA: Respuesta a solicitud de acceso a documentos aportados en Actuación Administrativa de_x000a_aprobación de cargos tarifarios. Expediente CREG 2022-0059"/>
    <m/>
    <s v="65_05_2023_RTA TGI _ S20230100002220"/>
    <s v="65_05_2023_VANTI_S20230100002220_Anexo_1"/>
    <x v="0"/>
    <x v="2"/>
    <s v="A Tiempo"/>
    <d v="2023-04-07T00:00:00"/>
  </r>
  <r>
    <x v="17"/>
    <x v="5"/>
    <x v="28"/>
    <d v="2023-05-09T00:00:00"/>
    <d v="2023-05-10T00:00:00"/>
    <s v="KPMG en su funcion de auditor externo, realiza el requerimiento sobre las mesas de ayuda relacionadas en excel._x000a_Se da respuesta y vincula hilo de correos y pantallazos que soportan con informacion desde 9 de Julio de 2022"/>
    <s v="64_05_2023_KPMG_Mesas de Ayuda Requerimiento"/>
    <s v="64_05_2023_RTA_RV Requerimiento de información AEGR grupo Vanti 2.25"/>
    <m/>
    <x v="0"/>
    <x v="1"/>
    <s v="Retrasado"/>
    <m/>
  </r>
  <r>
    <x v="18"/>
    <x v="1"/>
    <x v="29"/>
    <d v="2023-05-23T00:00:00"/>
    <d v="2023-05-18T00:00:00"/>
    <s v="Creg realiza traslado por competencias, del DP _x000a_1fist/ Bogotá, D.C., 30 de Noviembre de 2022_x000a_Asunto : Documento de hallazgo - Gas consumido dejado de facturar 8725230 – 60143583_x000a_Ticket : 8725230_x000a_Cuenta contrato : 60143583_x000a_Se comunica (Hallazgos 8725230 – 60143583 del 30 de Noviembre de 2022)_x000a_2nd/ Bogotá, D.C., 17 de febrero de 2023_x000a_Asunto : Documento de Facturación Hallazgo No. 9430598 – 60143583_x000a_Ticket : 9430598 de fecha 13 de febrero del 2023_x000a_Cuenta Contrato : 60143583_x000a_Se presenta el debido proceso como el cambio de la unidad y cobro de unidades no registradas, da espacio a replica._x000a_3rd/Bojacá, marzo 9 d e2023._x000a_Da respuesta, brinda descargos y controvertir las aseveraciones realizadas en el oficio de la referencia Documento de Hallazgos 8725230 – 60143583"/>
    <s v="63_05_2023_CREG_S2023002445"/>
    <s v="63_05_2023_RE TRASLADO comunicación. Radicado CREG S2023002445"/>
    <s v="63_05_2023_Anexos_Traslado Comunicación Radicado CREG S2023002445"/>
    <x v="1"/>
    <x v="0"/>
    <s v="A Tiempo"/>
    <d v="2023-05-08T00:00:00"/>
  </r>
  <r>
    <x v="19"/>
    <x v="0"/>
    <x v="30"/>
    <d v="2023-05-08T00:00:00"/>
    <d v="2023-05-08T00:00:00"/>
    <s v="Respuesta a una comunicación de  Giovanni  en la que relacionó diferentes incidentes que impidieron el reporte de la información al Sistema Único de Información – SUI, segun Resolución No. SSPD 20221000665435 del 18 de julio de 2022._x000a__x000a_Informa que las Mesas de ayuda registradas por Gas Natural del Cesar, fueron contestadas por el Grupo SUI para el Sector de Energía _x000a_Agrega que los formatos relacionados de las  mesas de ayuda, ya se encuentran certificados."/>
    <s v="62_05_2023_RV Notificacion electronica radicado salida No 20232031468021"/>
    <s v="62_05_2023_RTA_20232031468021"/>
    <s v="62_05_2023_20232031468021"/>
    <x v="3"/>
    <x v="7"/>
    <s v="A Tiempo"/>
    <m/>
  </r>
  <r>
    <x v="17"/>
    <x v="1"/>
    <x v="31"/>
    <d v="2023-05-18T00:00:00"/>
    <d v="2023-05-18T00:00:00"/>
    <s v="La notificación se realizará personalmente al representante legal o apoderado de la empresa VANTI S.A. E.S.P._x000a_Diez (10) días hábiles"/>
    <s v="61_05_2023_CREG_S2023002389"/>
    <m/>
    <m/>
    <x v="0"/>
    <x v="2"/>
    <s v="A Tiempo"/>
    <d v="2023-05-04T00:00:00"/>
  </r>
  <r>
    <x v="17"/>
    <x v="9"/>
    <x v="32"/>
    <d v="2023-05-16T00:00:00"/>
    <d v="2023-05-10T00:00:00"/>
    <s v="Requerimiento Personería Municipal de Chía, en el cual requiere concepto técnico o de información sobre el COBRO SERVICIOS PUBLICOS, como también la metodología realizada para el cobro de las tarifas de consumo. Además, solicita la metodología para realizar las mediciones."/>
    <s v="60_05_2023_10085791 - 0 SP"/>
    <s v="60_05_2023_Rta Vanti_10085791-0"/>
    <s v="60_05_2023_Evidencia Envio_10085791-0"/>
    <x v="0"/>
    <x v="1"/>
    <s v="A Tiempo"/>
    <d v="2023-05-02T00:00:00"/>
  </r>
  <r>
    <x v="20"/>
    <x v="5"/>
    <x v="33"/>
    <d v="2023-05-09T00:00:00"/>
    <d v="2023-05-09T00:00:00"/>
    <s v="Requerimiento de información para el desarrollo de procedimientos en auditoría con corte a 31 de Diciembre de 2022, necesaria para la evaluación de los tópicos establecidos por las Resolución 555175 del 5 de octubre de 2021 y su modificación parcial 470165 del 16 de mayo de 2022 de la SSPD."/>
    <s v="59_05_2023_SOLICITUD DE INFORMACIÓN No 4 AERG GRUPO VANTI 2022_1_"/>
    <m/>
    <s v="59_05_2023_Status requerimiento KPMG Aspectos comerciales v2"/>
    <x v="0"/>
    <x v="1"/>
    <s v="A Tiempo"/>
    <m/>
  </r>
  <r>
    <x v="21"/>
    <x v="0"/>
    <x v="34"/>
    <d v="2023-04-28T00:00:00"/>
    <d v="2023-04-28T00:00:00"/>
    <s v="Solicitud de información sobre un evento que afectó el servicio a los clientes del municipio de Soacha y Sibaté el 23 de marzo de 2023. *No se proporciona información sobre si la empresa realizará compensaciones."/>
    <m/>
    <s v="58_05_2023_RTA_031- Respuesta requerimiento de información 20232311184221"/>
    <s v="58_05_2023_Anexos_Requerimiento de información 20232311184221"/>
    <x v="0"/>
    <x v="1"/>
    <s v="A Tiempo"/>
    <m/>
  </r>
  <r>
    <x v="21"/>
    <x v="2"/>
    <x v="35"/>
    <d v="2023-04-21T00:00:00"/>
    <d v="2023-04-21T00:00:00"/>
    <s v="El representante legal de VANTI S.A. E.S.P. recibió un oficio del Ministerio con la validación del cuarto trimestre de 2022 de los subsidios y contribuciones del FSSRI de gas natural. Al comparar los valores reportados por Vanti y el Ministerio para la fila “Giros Recibidos de Otros Comercializadores”, se observa una diferencia de $396.185.232. Por lo tanto, el representante legal solicita el detalle de los $1.025.599.841 reportados por el Ministerio para aclarar la diferencia presentada en esta variable."/>
    <m/>
    <s v="39_04_2023_RTA_Comunicación MME - Diferencia Conciliacion 4Q 2022 - Giros_JR_ VANTI"/>
    <m/>
    <x v="0"/>
    <x v="8"/>
    <s v="A Tiempo"/>
    <m/>
  </r>
  <r>
    <x v="17"/>
    <x v="0"/>
    <x v="36"/>
    <d v="2023-05-07T00:00:00"/>
    <d v="2023-05-07T00:00:00"/>
    <s v="La SSPD conforme a los requisitos de la Norma Técnica Colombiana - NTC PE 1000:2020, expedida por el DANE, diseñó y publicó la encuesta para la vigencia 2023, con el objetivo de identificar y confirmar las necesidades de los usuarios de la información estadística del servicio público domiciliario de Gas Combustible por Redes. Con su aporte diligenciando la encuesta, contribuye a la mejora de nuestras funciones como entidad en la planificación y toma de decisiones frente al flujo de información de la operación estadística, en términos de recursos, estructura y organización"/>
    <s v="RV Encuesta para la identificación y confirmación de necesidades de información estadística asociada al servicio público Domiciliario de Gas Combustible por Redes"/>
    <m/>
    <m/>
    <x v="0"/>
    <x v="9"/>
    <s v="A Tiempo"/>
    <m/>
  </r>
  <r>
    <x v="22"/>
    <x v="0"/>
    <x v="37"/>
    <d v="2023-05-02T00:00:00"/>
    <d v="2023-05-03T00:00:00"/>
    <s v="Preguntas relacionadas a los puntos 11 y 61 contenidos en el derecho de peticion e informacion adicional con anexos"/>
    <s v="35_04_2023_userFile1682615443683"/>
    <s v="35_04_2023_ - Respuesta requerimiento a la SSPD 20232311249921"/>
    <m/>
    <x v="0"/>
    <x v="1"/>
    <s v="Retrasado"/>
    <d v="2023-04-24T00:00:00"/>
  </r>
  <r>
    <x v="23"/>
    <x v="2"/>
    <x v="38"/>
    <d v="2023-04-29T00:00:00"/>
    <d v="2023-04-29T00:00:00"/>
    <s v="Se asigna saldos restantes por concepto de giro para cubrir subsidios por tarifas a personas de menos recursos para años 2017 - 2022 (trimestres correspondientes)"/>
    <s v="56_04_2023_MME_AsignacionSubsidios _Resol. 000346 del 21 de abril de 2023 PS 3-2022"/>
    <m/>
    <m/>
    <x v="0"/>
    <x v="5"/>
    <s v="A Tiempo"/>
    <m/>
  </r>
  <r>
    <x v="22"/>
    <x v="0"/>
    <x v="39"/>
    <d v="2023-04-28T00:00:00"/>
    <d v="2023-04-28T00:00:00"/>
    <s v="La gestion de esta respuesta se ha prolongado a hoy 18 dias,  y atendiendo el hilo del correo se reconoce la estructura para la respuesta que debe darse. Solicitan ubicando en copia del correo a nuestrta AREA."/>
    <s v="55_04_2023_VANTI_9896762 - 01523CR0004838"/>
    <s v="55_04_2023_Rta_VANTI_Respuesta requerimiento SSPD - 28-04-2023"/>
    <m/>
    <x v="0"/>
    <x v="1"/>
    <s v="A Tiempo"/>
    <d v="2023-04-05T00:00:00"/>
  </r>
  <r>
    <x v="24"/>
    <x v="2"/>
    <x v="40"/>
    <d v="2023-05-10T00:00:00"/>
    <d v="2023-05-08T00:00:00"/>
    <s v="Nelly Calderón presentó una petición al Ministerio de Minas y Energía con radicado minenergia 1-2023-017219 del 06 de abril de 2023, mediante la cual plantea algunas inquietudes relacionadas con el incremento en la tarifa mensual por metro cúbico de gas en el estrato 3, cobrado por la empresa Gas Natural Cundiboyacense S.A ESP en el municipio de Zipaquirá – Cundinamarca. El Ministerio de Minas y Energía trasladó la petición a la empresa Gas Natural Cundiboyacense S.A ESP para que proceda a dar respuesta a las inquietudes planteadas por la Sra. Nelly Calderón"/>
    <s v="53_04_2023_GNCB_Traslado_202331020099602"/>
    <s v="53_05_2023_RTA de vanti _ 10156048_0"/>
    <s v="53_04_2023_Anexo_Traslado_1202331020099602_00002"/>
    <x v="1"/>
    <x v="2"/>
    <s v="A Tiempo"/>
    <d v="2023-04-26T00:00:00"/>
  </r>
  <r>
    <x v="25"/>
    <x v="10"/>
    <x v="41"/>
    <d v="2023-05-05T00:00:00"/>
    <d v="2023-05-02T00:00:00"/>
    <s v="La oficina de asesoria de planeacion de piedecuesta, soliita el pago del 50% de la contribucion economica vigencia 2022 y 2023 /Tambien se agrega en un correo recibido el 25/04/23; En la cuenta de cobro de 11.591.200 uno de los anexos indica que hace referencia a un pago pendiente del 2022; sin embargo, esta cuenta se remitió a Vanti en esta vigencia._x000a_"/>
    <s v="52_04_23_Grupo VANTI"/>
    <s v="RE Soportes De Pago - Concurso Económico .msg"/>
    <m/>
    <x v="0"/>
    <x v="8"/>
    <s v="A Tiempo"/>
    <m/>
  </r>
  <r>
    <x v="26"/>
    <x v="1"/>
    <x v="42"/>
    <d v="2023-04-20T00:00:00"/>
    <d v="2023-04-20T00:00:00"/>
    <s v="PROPUESTA DE AJUSTE A LA TASA DE DESCUENTO QUE SE DEFINIÓ EN LA RESOLUCIÓN CREG 103 DE 2021 -"/>
    <s v="47_04_2023_VANTI_Ajuste WACC_Doc_ sop_702 001_2023_TD_GN"/>
    <m/>
    <s v="47_04_2023_Vanti_ CREG 702 001_2023"/>
    <x v="0"/>
    <x v="3"/>
    <s v="A Tiempo"/>
    <m/>
  </r>
  <r>
    <x v="27"/>
    <x v="0"/>
    <x v="43"/>
    <d v="2023-01-17T00:00:00"/>
    <m/>
    <s v="Como arrendataria del local comercial ubicado en la cr. 27 # 45 A 66 Local 1, cuenta contrato 63012867,  presentar una solicitud respetuosa a VANTI correspondiente a solicitar información y respuestas sobre la multa que aparece en su factura y que no tiene resolución a dia de hoy"/>
    <s v="44_04_2023_DPeticion  Dayana a Vanti"/>
    <m/>
    <s v="Dr Rodolfo Anaya A.pdf"/>
    <x v="0"/>
    <x v="1"/>
    <s v="pendiente"/>
    <m/>
  </r>
  <r>
    <x v="28"/>
    <x v="11"/>
    <x v="44"/>
    <d v="2023-05-01T00:00:00"/>
    <d v="2023-05-04T00:00:00"/>
    <s v="Nota*  ya fue enviada a servicio al cliente para su gestión._x000a_DAYANA GERALDINE MORA RODRIGUEZ presenta un derecho de petición a Vanti solicitando la expedición de la factura únicamente con los consumos correspondientes a los tres últimos meses de la cuenta 63012867 y la actualización de la información para las notificaciones correspondientes. La cuenta se encuentra en un proceso por presunta manipulación del medidor y ha recibido información dirigida a una persona desconocida. La petición se sustenta en el marco de la Ley 142 de 1994."/>
    <s v="44_04_2023_DPeticion  Dayana a Vanti"/>
    <s v="44_05_2023_Recordatorio enviado a Servicio al Cliente_RE DERECHO DE PETICIÓN"/>
    <m/>
    <x v="0"/>
    <x v="0"/>
    <s v="Retrasado"/>
    <m/>
  </r>
  <r>
    <x v="29"/>
    <x v="2"/>
    <x v="45"/>
    <d v="2023-04-19T00:00:00"/>
    <d v="2023-04-19T00:00:00"/>
    <s v="certifica que se ha prestado de manera efectiva el servicio de gas combustible por redes de tubería para los cuatro mercados relevantes aprobados por la CREG y que los subsidios y contribuciones para enero y febrero de 2023 han sido aplicados en la facturación de los usuarios."/>
    <m/>
    <s v="43_04_2023_Comunicación MME - Certificación enero y febrero 2023 GOR"/>
    <m/>
    <x v="2"/>
    <x v="10"/>
    <s v="A Tiempo"/>
    <m/>
  </r>
  <r>
    <x v="29"/>
    <x v="2"/>
    <x v="46"/>
    <d v="2023-04-19T00:00:00"/>
    <d v="2023-04-19T00:00:00"/>
    <s v="El Representante Legal Tipo B de GAS NATURAL DEL CESAR S.A. E.S.P. certifica que se ha prestado de manera efectiva el servicio de gas combustible por redes de tubería para los dos mercados relevantes aprobados por la CREG y que los subsidios y contribuciones para enero y febrero de 2023 han sido aplicados en la facturación de los usuarios."/>
    <m/>
    <s v="42_04_2023_Comunicación MME - Certificación enero y febrero 2023 GNCR"/>
    <m/>
    <x v="3"/>
    <x v="10"/>
    <s v="A Tiempo"/>
    <m/>
  </r>
  <r>
    <x v="29"/>
    <x v="2"/>
    <x v="47"/>
    <d v="2023-04-19T00:00:00"/>
    <d v="2023-04-19T00:00:00"/>
    <s v="El Representante Legal Tipo B de GAS NATURAL CUNDIBOYACENSE S.A. E.S.P. certifica que se ha prestado de manera efectiva el servicio de gas combustible por redes de tubería para los dos mercados relevantes aprobados por la CREG y que los subsidios y contribuciones para enero y febrero de 2023 han sido aplicados en la facturación de los usuarios."/>
    <m/>
    <s v="41_04_2023_Comunicación MME - Certificación enero y febrero 2023 GNCB"/>
    <m/>
    <x v="1"/>
    <x v="10"/>
    <s v="A Tiempo"/>
    <m/>
  </r>
  <r>
    <x v="29"/>
    <x v="2"/>
    <x v="48"/>
    <d v="2023-04-19T00:00:00"/>
    <d v="2023-04-19T00:00:00"/>
    <s v="certifica que se ha prestado de manera efectiva el servicio de gas combustible por redes de tubería para los cuatro mercados relevantes aprobados por la CREG y que los subsidios y contribuciones para enero y febrero de 2023 han sido aplicados en la facturación de los usuarios."/>
    <m/>
    <s v="40_04_2023_Comunicación MME - Certificación enero y febrero 2023 Vanti"/>
    <m/>
    <x v="0"/>
    <x v="10"/>
    <s v="A Tiempo"/>
    <m/>
  </r>
  <r>
    <x v="29"/>
    <x v="2"/>
    <x v="49"/>
    <d v="2023-04-18T00:00:00"/>
    <d v="2023-04-18T00:00:00"/>
    <s v="Comunicación del Ministerio de Minas y Energía al doctor Henao para validar la información reportada por la empresa GAS NATURAL DEL ORIENTE S.A E.S.P. sobre los subsidios y contribuciones aplicados en el 4° Trimestre 2022. El Ministerio indica que no encontró diferencias significativas entre la información cargada y la verificada y que los subsidios solicitados solo se girarán a los prestadores que cumplan con el Sistema Único de Información."/>
    <s v="38_04_2023_GOR_202331020089232"/>
    <m/>
    <m/>
    <x v="2"/>
    <x v="8"/>
    <s v="A Tiempo"/>
    <m/>
  </r>
  <r>
    <x v="29"/>
    <x v="2"/>
    <x v="50"/>
    <d v="2023-04-18T00:00:00"/>
    <d v="2023-04-18T00:00:00"/>
    <s v="Comunicación del Ministerio de Minas y Energía al doctor Henao para validar la información reportada por la empresa GAS NATURAL DEL ORIENTE S.A E.S.P. sobre los subsidios y contribuciones aplicados en el 4° Trimestre 2022. El Ministerio indica que no encontró diferencias significativas entre la información cargada y la verificada y que los subsidios solicitados solo se girarán a los prestadores que cumplan con el Sistema Único de Información."/>
    <s v="37_04_2023_GNCB_202331020089392"/>
    <m/>
    <m/>
    <x v="1"/>
    <x v="4"/>
    <s v="A Tiempo"/>
    <m/>
  </r>
  <r>
    <x v="29"/>
    <x v="0"/>
    <x v="51"/>
    <d v="2023-04-18T00:00:00"/>
    <d v="2023-04-18T00:00:00"/>
    <s v="Mediante la presente comunicación, el Grupo Vanti que remite sus comentarios al proyecto de resolución del asunto._x000a_1. Sobre la inconveniencia de prohibir cobros esenciales y obligar a la separación de códigos de pago_x000a_ 2. Falta de justificación suficiente frente a inclusión de procedimiento de cambio de medidores en contrato de condiciones uniformes - CCU_x000a_3. Falta de justificación suficiente frente a prohibición de facturas digitales sin requisitos formales_x000a_ 4. Falta de justificación suficiente frente a procedimiento para reportar predio desocupado_x000a_5. Sobre el riesgo jurídico de que la Superintendencia de Servicios Públicos – SSPD emita regulación_x000a_6. Falta de memoria justificativa en la consulta a la ciudadanía"/>
    <s v="36_04_2023_Comentarios Grupo Vanti _10150500_031"/>
    <m/>
    <m/>
    <x v="0"/>
    <x v="4"/>
    <s v="A Tiempo"/>
    <m/>
  </r>
  <r>
    <x v="30"/>
    <x v="12"/>
    <x v="52"/>
    <d v="2023-04-28T00:00:00"/>
    <d v="2023-05-12T00:00:00"/>
    <s v="Petición de un concejal de Bogotá JAVIER OSPINA   al doctor Juan Felipe Rojas para que apruebe los estudios y diseños de una obra vial en la localidad de Bosa que está deteriorada y requiere intervención."/>
    <s v="48_04_2023_VANTI_ DERECHO DE PETICION EMPRESAS SERVICIOS PUBLICOS MALLA VIAL venti 307"/>
    <s v="48_05_2023_Respuesta 10283702 - 0 Concejo de Bogotá-JAvier Alejandro Ospina R"/>
    <s v="48_04_2023_VANTI_ DERECHO DE PETICION EMPRESAS SERVICIOS PUBLICOS MALLA VIAL venti 307"/>
    <x v="0"/>
    <x v="0"/>
    <s v="Retrasado"/>
    <d v="2023-04-14T00:00:00"/>
  </r>
  <r>
    <x v="31"/>
    <x v="2"/>
    <x v="53"/>
    <d v="2023-04-21T00:00:00"/>
    <d v="2023-04-21T00:00:00"/>
    <s v="Se recibe Derecho de Peticion del señor Manuel Rodriguez “Derecho de petición respecto de la situación de desastre ambiental, vial y social frente al grave riesgo por falta de acceso a los servicios públicos de manera real y efectiva y el cobro ilegal en la comuna 4 y sus barrios entre ellos robles, valcanes y demás barrios que la conforman.”"/>
    <s v="35_04_23_MME Traslado radicado número 1-2023-012532 del Ministerio de Minas y Energía_202332050085862"/>
    <s v="45_04_2023_Respuesta DP VANTI 9715042-0 Derecho de Petición CREG E2023002217 (V_28 marzo)"/>
    <s v="35_04_23_Anexo CREG_1202332050085862_00003"/>
    <x v="0"/>
    <x v="1"/>
    <s v="A Tiempo"/>
    <m/>
  </r>
  <r>
    <x v="32"/>
    <x v="1"/>
    <x v="54"/>
    <d v="2023-05-23T00:00:00"/>
    <d v="2023-05-23T00:00:00"/>
    <s v="Giovanni como representante legal de la sociedad VANTI Solicita acceso a la totalidad del expediente No. 2022-0063 acompañado de si aplica los argumentos que la sociedad TrasmetanoS.A. E.S.P, expuso para alegar su reserva."/>
    <s v="34_04_23_Transmetano_Comunicación CREG- Solicitud Acceso Expediente Transmetano - 11-04-2023_JR"/>
    <s v="34_05_2023_RTA_CREG_S2023002571.pdf"/>
    <s v="34_05_2023_Anexo_RV__Solicitud_Acceso_expediente_2022___0063_1681488682873"/>
    <x v="0"/>
    <x v="2"/>
    <s v="A Tiempo"/>
    <d v="2023-04-12T00:00:00"/>
  </r>
  <r>
    <x v="32"/>
    <x v="1"/>
    <x v="55"/>
    <d v="2023-05-23T00:00:00"/>
    <d v="2023-05-23T00:00:00"/>
    <s v="Giovanni como representante legal de la sociedad VANTI Solicita acceso a la totalidad del expediente No. 2022-0065 acompañado de si aplica los argumentos que la sociedad Promigas S.A. E.S.P,. expuso para alegar su reserva."/>
    <s v="33_04_23_Promigas_Comunicación CREG- Solicitud Acceso Expediente Promigas - 11-04-2023_JR"/>
    <s v="33_05_2023_Promigas_comunicación CREG_10322044 - 0 SP (1)"/>
    <s v="33_05_2023_Anexo_Solicitud_Acceso_expediente_2022_0065_1681489261891"/>
    <x v="0"/>
    <x v="2"/>
    <s v="A Tiempo"/>
    <d v="2023-04-12T00:00:00"/>
  </r>
  <r>
    <x v="32"/>
    <x v="1"/>
    <x v="56"/>
    <d v="2023-05-23T00:00:00"/>
    <d v="2023-05-23T00:00:00"/>
    <s v="Giovanni como representante legal de la sociedad VANTI Solicita acceso a la totalidad del expediente No. 2022 – 0068 acompañado de si aplica los argumentos que la sociedad Promioriente S.A. E.S.P. expuso para alegar su reserva."/>
    <s v="32_04_23_Promioriente _Comunicación CREG- Solicitud Acceso Expediente Promioriente - 11-04-2023_JR"/>
    <s v="32_05_2023_RTA_S2023002570"/>
    <s v="32_05_2023_Anexo_Actuacion_administrativa_en_virtud_de_lo_dispuesto_en_el_articulo_8_de_la_Resolucion_CREG_175_de_202_1681487397117"/>
    <x v="0"/>
    <x v="11"/>
    <s v="A Tiempo"/>
    <d v="2023-04-12T00:00:00"/>
  </r>
  <r>
    <x v="33"/>
    <x v="0"/>
    <x v="57"/>
    <d v="2023-05-18T00:00:00"/>
    <d v="2023-05-11T00:00:00"/>
    <s v="Gas Natural del Oriente S.A. E.S.P. certificó erróneamente el formato GRCS8 en la plataforma SUI y solicita su reversión voluntaria para cargar la información correcta. Adjuntan los archivos con la información certificada y su respectiva modificación._x000a_RTA SSPD: Aprueba y Autoriza el cargue de la informacion objeto de reversion (GRC8 GOR) con plazo de 8 dias para realizar la gestion."/>
    <s v="50_04_2023_GOR_10184520 -179  2023 Solicitud de Reversión GOR_GRCS8"/>
    <s v="50_05_2023_RTA SSPD_ 20232031634231"/>
    <s v="50_05_2023_FF_CERTIFICADO_202305112023345297"/>
    <x v="2"/>
    <x v="12"/>
    <s v="A Tiempo"/>
    <m/>
  </r>
  <r>
    <x v="33"/>
    <x v="1"/>
    <x v="58"/>
    <d v="2023-04-10T00:00:00"/>
    <d v="2023-04-10T00:00:00"/>
    <s v="Respuesta de Gas Natural del Oriente S.A. E.S.P. a un requerimiento de la Comisión sobre la información (S-2023-000980) de gastos y costos AOM reportada en unas plantillas. La empresa informa que ya había ajustado y enviado las plantillas sin valores negativos y que las vuelve a adjuntar para atender el requerimiento."/>
    <s v="49_04_2023_ GOR_ 026 - Respuesta radicado 2023 _ 000980_Gastos AOM_JR"/>
    <m/>
    <s v="49_04_2023_GasOriente2020 S2023000980"/>
    <x v="2"/>
    <x v="3"/>
    <s v="A Tiempo"/>
    <m/>
  </r>
  <r>
    <x v="33"/>
    <x v="0"/>
    <x v="59"/>
    <d v="2023-04-26T00:00:00"/>
    <d v="2023-04-26T00:00:00"/>
    <s v="Se escala el Derecho de peticion realizado el 8/4/23 con la SSPD donde ahora realiza una Denuncia y tambie la Solicitud relacionado a su situacion. Paz y Salvo / Ajuste Factura / que no se repita "/>
    <s v="46_04_2023_Vanti_Solicitud DP JHON JAIRO GUTIÉRREZ DUQUE"/>
    <s v="46_Rta_DP"/>
    <m/>
    <x v="0"/>
    <x v="0"/>
    <s v="A Tiempo"/>
    <m/>
  </r>
  <r>
    <x v="34"/>
    <x v="1"/>
    <x v="60"/>
    <d v="2023-04-05T00:00:00"/>
    <d v="2023-04-05T00:00:00"/>
    <s v="S2023001972 - Rta Solicitud Cargos de Distribución / No se cumplio metodologia según lineamientos Circular CREG 030 de 2019 / Requerimientos adicionales"/>
    <s v="S2023001972 _GOR_29_03_23"/>
    <s v="Alcance solicitud tarifaria_05_04_23_GOR"/>
    <m/>
    <x v="2"/>
    <x v="1"/>
    <s v="A Tiempo"/>
    <m/>
  </r>
  <r>
    <x v="35"/>
    <x v="13"/>
    <x v="61"/>
    <d v="2023-04-04T00:00:00"/>
    <d v="2023-04-04T00:00:00"/>
    <s v="SPDI-CH-073-2023_x000a_Anexos y recibo de pago para la tarifa correspondiente a cada empresa prestadora y comercializadora de servicios publicos domiciliarios del PRESUPUESTO ANUAL DE GASTOS DEL COMITÉ PERMANENTE DE ESTRATIFICACION PARA LA VIGENCIA 2023"/>
    <s v="SPDI-CH-073-2023_Chiquinquira"/>
    <m/>
    <s v="Chiquin_RV Remisión de información para realización del pago del aporte concurso económico presupuesto anual de gastos del comité permanente de estratificación para la vigencia 2023."/>
    <x v="0"/>
    <x v="1"/>
    <s v="A Tiempo"/>
    <m/>
  </r>
  <r>
    <x v="36"/>
    <x v="14"/>
    <x v="62"/>
    <d v="2023-04-03T00:00:00"/>
    <d v="2023-04-03T00:00:00"/>
    <s v="REPORTE DE INFORMACION PERIODICA DE GAS PARA GENERAR INFORMACION SOBRE LA EVOLUCION DEL SECTOR INDUSTRIAL CON INFORMACION DE DETALLE EN LOS DATOS ENTREGADOS SEGÚN PUNTOS ACORDADOS EN REUNION 15 DE MARZO DE 2023"/>
    <m/>
    <s v="RTA -20232100002251T-GRUPO VANTI_03_23"/>
    <s v="Radicado No. 20232100002251T"/>
    <x v="0"/>
    <x v="2"/>
    <s v="A Tiempo"/>
    <m/>
  </r>
  <r>
    <x v="37"/>
    <x v="0"/>
    <x v="63"/>
    <d v="2023-03-27T00:00:00"/>
    <d v="2023-03-27T00:00:00"/>
    <s v="Radicado No.: 20232311028311 - Diligenciar Archivo en Excel formulado - Evidencia fotográfica disponible - Acta de revisión técnica"/>
    <s v="22_03_2023_RAD2_GOR_22_03_23"/>
    <m/>
    <m/>
    <x v="2"/>
    <x v="1"/>
    <s v="A Tiempo"/>
    <m/>
  </r>
  <r>
    <x v="37"/>
    <x v="0"/>
    <x v="64"/>
    <d v="2023-04-05T00:00:00"/>
    <d v="2023-04-05T00:00:00"/>
    <s v="Radicado No.: 20232311079961 - con el fin verificar que la empresa ha calculado correctamente los costos de los_x000a_componentes de Suministro (G), Transporte (T), Distribución (D) y Comercialización © e requiere &quot;Copia de las facturas…&quot; diligenciar &quot;Archivo Excel adjunto&quot;, &quot;Copia digital de los nuevos contratos de suministro&quot;"/>
    <s v="https://grupovanti.sharepoint.com/:b:/r/sites/GerenciadeRegulacin/Shared%20Documents/General/2023/Regulaci%C3%B3n/SSPD%20MARZO/VANTI/RAD1_vanti_22_03_23.pdf?csf=1&amp;web=1&amp;e=VZhDiD"/>
    <s v="https://grupovanti.sharepoint.com/:b:/r/sites/GerenciadeRegulacin/Shared%20Documents/General/2023/Regulaci%C3%B3n/SSPD/VANTI/28-Respuesta%20SSPD%20Radicado%2020232311079961_05_04_23_Vanti.pdf?csf=1&amp;web=1&amp;e=im3gaF"/>
    <m/>
    <x v="0"/>
    <x v="1"/>
    <s v="A Tiempo"/>
    <m/>
  </r>
  <r>
    <x v="38"/>
    <x v="15"/>
    <x v="65"/>
    <d v="2023-04-07T00:00:00"/>
    <d v="2023-03-28T00:00:00"/>
    <s v="Solicitan remitir copia del Ajuste del reporte de liquidacion en  formato excel  / Estratificacion / liquidacion y facturacion de SPD"/>
    <s v="https://grupovanti.sharepoint.com/:b:/r/sites/GerenciadeRegulacin/Shared%20Documents/General/2023/Regulaci%C3%B3n/Municipio%20Sutatausa/userFile1679595698880_GVANTI_MunicipioSutatausa_14_03_23.pdf?csf=1&amp;web=1&amp;e=66pfrN"/>
    <m/>
    <m/>
    <x v="0"/>
    <x v="2"/>
    <s v="A Tiempo"/>
    <m/>
  </r>
  <r>
    <x v="22"/>
    <x v="1"/>
    <x v="66"/>
    <d v="2023-05-01T00:00:00"/>
    <d v="2023-04-04T00:00:00"/>
    <s v="Solicitud del señor MANUEL RODRÍGUEZ con correo:_x000a_veeduriatransparenciacolombia@gmail.com, del municipio de Soacha en la cual solicita_x000a_respuestas a algunas preguntas que son de su conocimiento sobre el servicio público_x000a_domiciliario de gas natural que se presta en el municipio de Soacha, más_x000a_específicamente en la comuna 4 en los barrios Robles, Valcanes y demás barrios que la_x000a_conforman, específicamente lo que concierne a las preguntas 4, 11, 19, 22 y 23 del_x000a_cuestionario que reposa en nuestro radicado CREG E2023002217,S2023001721"/>
    <s v="35_04_2023_CREG _ Comuna 4 Soacha S2023001721"/>
    <s v="45_04_2023_Respuesta DP VANTI 9715042-0 Derecho de Petición CREG E2023002217 (V_28 marzo)"/>
    <m/>
    <x v="0"/>
    <x v="2"/>
    <s v="A Tiempo"/>
    <m/>
  </r>
  <r>
    <x v="39"/>
    <x v="16"/>
    <x v="67"/>
    <d v="2023-03-13T00:00:00"/>
    <d v="2023-03-13T00:00:00"/>
    <s v="Radicado primera cuota del concurso economico acompañado de anexos como el recibo de pago y Resolución 279 del 14 de febrero de 2023 - pendiente de soporte de pago"/>
    <s v="RESOLUCION 279 CONCURSO ECONOMICO_VANTI_ 2023"/>
    <m/>
    <s v="Soporte de pago_concurso economico Vigencia 2023_Vanti_23990036902"/>
    <x v="0"/>
    <x v="3"/>
    <s v="A Tiempo"/>
    <m/>
  </r>
  <r>
    <x v="40"/>
    <x v="0"/>
    <x v="68"/>
    <d v="2023-03-13T00:00:00"/>
    <d v="2023-03-13T00:00:00"/>
    <s v="Radicado 20232310852571 -- Radicado_No._20232310716951 -- Se solicita información base para el cálculo de los indicadores de gestión_x000a_de acuerdo con lo establecido en la Resolución CREG 072 de 2002"/>
    <m/>
    <s v="23_03_2023_CREG Vanti_Reporte_Indicadores_CREG_072 _de _2002_Vanti"/>
    <m/>
    <x v="0"/>
    <x v="1"/>
    <s v="A Tiempo"/>
    <m/>
  </r>
  <r>
    <x v="41"/>
    <x v="0"/>
    <x v="69"/>
    <d v="2023-03-17T00:00:00"/>
    <d v="2023-03-17T00:00:00"/>
    <s v="Solicita el diligenciamiento del Excel &quot;SA_OTT_2023.xls&quot; "/>
    <m/>
    <s v="https://grupovanti.sharepoint.com/:b:/r/sites/GerenciadeRegulacin/Shared%20Documents/General/2023/Regulaci%C3%B3n/SSPD%20MARZO/VANTI/Vanti%20Recuperaci%C3%B3n%20de%20saldos%20acumulados%20de%20la%20Resoluci%C3%B3n%20CREG%20048.pdf?csf=1&amp;web=1&amp;e=Pczgcq"/>
    <m/>
    <x v="0"/>
    <x v="1"/>
    <s v="A Tiempo"/>
    <m/>
  </r>
  <r>
    <x v="41"/>
    <x v="0"/>
    <x v="70"/>
    <d v="2023-03-17T00:00:00"/>
    <d v="2023-03-17T00:00:00"/>
    <s v="Radicado No. 20232310850391  -- Solicita el diligenciamiento del Excel &quot;SA_OTT_2023.xls&quot; "/>
    <m/>
    <s v="Recuperación de saldos acumulados de la Resolución CREG 048 _ GNCR.pdf"/>
    <m/>
    <x v="3"/>
    <x v="1"/>
    <s v="A Tiempo"/>
    <m/>
  </r>
  <r>
    <x v="41"/>
    <x v="0"/>
    <x v="70"/>
    <d v="2023-03-17T00:00:00"/>
    <d v="2023-03-17T00:00:00"/>
    <s v="Radicado No. 20232310850401  -- Solicita el diligenciamiento del Excel &quot;SA_OTT_2023.xls&quot; "/>
    <m/>
    <s v="Recuperación de saldos acumulados de la Resolución CREG 048 _ GOR.pdf"/>
    <m/>
    <x v="2"/>
    <x v="1"/>
    <s v="A Tiempo"/>
    <m/>
  </r>
  <r>
    <x v="41"/>
    <x v="0"/>
    <x v="70"/>
    <d v="2023-03-17T00:00:00"/>
    <d v="2023-03-17T00:00:00"/>
    <s v="Solicita el diligenciamiento del Excel &quot;SA_OTT_2023.xls&quot; "/>
    <m/>
    <s v="Vanti Recuperación de saldos acumulados de la Resolución CREG 048 _ gncb.pdf"/>
    <m/>
    <x v="1"/>
    <x v="1"/>
    <s v="A Tiempo"/>
    <m/>
  </r>
  <r>
    <x v="41"/>
    <x v="0"/>
    <x v="71"/>
    <d v="2023-03-17T00:00:00"/>
    <d v="2023-03-03T00:00:00"/>
    <s v="Radicado No. 20232310850381  -- El Comercializador deberá mantener_x000a_actualizada la información relativa a los saldos acumulados, y el histórico de los valores que se_x000a_trasladan a la tarifa del usuario final"/>
    <m/>
    <m/>
    <s v="E2023004099"/>
    <x v="1"/>
    <x v="1"/>
    <s v="A Tiempo"/>
    <m/>
  </r>
  <r>
    <x v="3"/>
    <x v="0"/>
    <x v="72"/>
    <d v="2023-03-13T00:00:00"/>
    <d v="2023-03-13T00:00:00"/>
    <s v="En atención al comunicado enunciado en el asunto, por medio del cual solicita información relacionada con el proceso de revisión periódica obligatoria, al 31 de diciembre de 2022 Y RTA"/>
    <m/>
    <s v="https://grupovanti.sharepoint.com/:b:/r/sites/GerenciadeRegulacin/Shared%20Documents/General/2023/Regulaci%C3%B3n/SSPD%20MARZO/GNCB/028-%20Respuesta%20requerimiento%20Informaci%C3%B3n%20RPO%202022_cundi.pdf?csf=1&amp;web=1&amp;e=iHz98L"/>
    <s v="https://grupovanti.sharepoint.com/:u:/r/sites/GerenciadeRegulacin/Shared%20Documents/General/2023/Regulaci%C3%B3n/SSPD%20MARZO/GNCB/Cundi.zip?csf=1&amp;web=1&amp;e=x0aMVq"/>
    <x v="1"/>
    <x v="1"/>
    <s v="A Tiempo"/>
    <m/>
  </r>
  <r>
    <x v="3"/>
    <x v="0"/>
    <x v="73"/>
    <d v="2023-03-10T00:00:00"/>
    <d v="2023-03-10T00:00:00"/>
    <s v="En atención al comunicado enunciado en el asunto, por medio del cual solicita información relacionada con el proceso de revisión periódica obligatoria, al 31 de diciembre de 2022"/>
    <m/>
    <s v="https://grupovanti.sharepoint.com/:b:/r/sites/GerenciadeRegulacin/Shared%20Documents/General/2023/Regulaci%C3%B3n/SSPD%20MARZO/GNCR/029-%20Respuesta%20requerimiento%20Informaci%C3%B3n%20RPO%202022_Gasnacer.pdf?csf=1&amp;web=1&amp;e=v7QeX5"/>
    <s v="https://grupovanti.sharepoint.com/:u:/r/sites/GerenciadeRegulacin/Shared%20Documents/General/2023/Regulaci%C3%B3n/SSPD%20MARZO/GNCR/Gasnacer.zip?csf=1&amp;web=1&amp;e=bo6irv"/>
    <x v="3"/>
    <x v="1"/>
    <s v="A Tiempo"/>
    <m/>
  </r>
  <r>
    <x v="3"/>
    <x v="0"/>
    <x v="74"/>
    <d v="2023-03-10T00:00:00"/>
    <d v="2023-03-10T00:00:00"/>
    <s v="En atención al comunicado enunciado en el asunto, por medio del cual solicita información relacionada con el proceso de revisión periódica obligatoria, al 31 de diciembre de 2022"/>
    <m/>
    <m/>
    <s v="https://grupovanti.sharepoint.com/:u:/r/sites/GerenciadeRegulacin/Shared%20Documents/General/2023/Regulaci%C3%B3n/SSPD%20MARZO/GNCB/Cundi.zip?csf=1&amp;web=1&amp;e=UBPqFT"/>
    <x v="1"/>
    <x v="1"/>
    <s v="A Tiempo"/>
    <m/>
  </r>
  <r>
    <x v="3"/>
    <x v="0"/>
    <x v="75"/>
    <d v="2023-03-10T00:00:00"/>
    <d v="2023-03-10T00:00:00"/>
    <s v="En atención al comunicado enunciado en el asunto, por medio del cual solicita información relacionada con el proceso de revisión periódica obligatoria, al 31 de diciembre de 2022"/>
    <m/>
    <s v="https://grupovanti.sharepoint.com/:b:/r/sites/GerenciadeRegulacin/Shared%20Documents/General/2023/Regulaci%C3%B3n/SSPD%20MARZO/VANTI/027-%20Respuesta%20requerimiento%20Informaci%C3%B3n%20RPO%202022_Vanti.pdf?csf=1&amp;web=1&amp;e=UfmUJX"/>
    <s v="https://grupovanti.sharepoint.com/:u:/r/sites/GerenciadeRegulacin/Shared%20Documents/General/2023/Regulaci%C3%B3n/SSPD%20MARZO/VANTI/Vanti.zip?csf=1&amp;web=1&amp;e=s0nUfV"/>
    <x v="0"/>
    <x v="1"/>
    <s v="A Tiempo"/>
    <m/>
  </r>
  <r>
    <x v="3"/>
    <x v="0"/>
    <x v="76"/>
    <d v="2023-03-10T00:00:00"/>
    <d v="2023-03-10T00:00:00"/>
    <s v="En atención al comunicado enunciado en el asunto, por medio del cual solicita información relacionada con el proceso de revisión periódica obligatoria, al 31 de diciembre de 2022"/>
    <m/>
    <s v="https://grupovanti.sharepoint.com/:b:/r/sites/GerenciadeRegulacin/Shared%20Documents/General/2023/Regulaci%C3%B3n/SSPD%20MARZO/GOR/030-%20Respuesta%20requerimiento%20Informaci%C3%B3n%20RPO%202022_Gasoriente.pdf?csf=1&amp;web=1&amp;e=emsg6c"/>
    <s v="https://grupovanti.sharepoint.com/:u:/r/sites/GerenciadeRegulacin/Shared%20Documents/General/2023/Regulaci%C3%B3n/SSPD%20MARZO/GOR/Gasoriente.zip?csf=1&amp;web=1&amp;e=qdjRSn"/>
    <x v="2"/>
    <x v="1"/>
    <s v="A Tiempo"/>
    <m/>
  </r>
  <r>
    <x v="42"/>
    <x v="0"/>
    <x v="77"/>
    <d v="2023-03-03T00:00:00"/>
    <d v="2023-03-03T00:00:00"/>
    <s v="Radicado No. 20232310716991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s v="E2023004101"/>
    <x v="3"/>
    <x v="1"/>
    <s v="A Tiempo"/>
    <m/>
  </r>
  <r>
    <x v="42"/>
    <x v="0"/>
    <x v="78"/>
    <d v="2023-03-04T00:00:00"/>
    <d v="2023-03-03T00:00:00"/>
    <s v="Radicado No. 20232310717001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s v="E2023004100"/>
    <x v="2"/>
    <x v="1"/>
    <s v="A Tiempo"/>
    <m/>
  </r>
  <r>
    <x v="42"/>
    <x v="0"/>
    <x v="79"/>
    <d v="2023-03-05T00:00:00"/>
    <d v="2023-03-03T00:00:00"/>
    <s v="Radicado No.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s v="E2023004098"/>
    <x v="0"/>
    <x v="1"/>
    <s v="A Tiempo"/>
    <m/>
  </r>
  <r>
    <x v="42"/>
    <x v="0"/>
    <x v="80"/>
    <d v="2023-03-06T00:00:00"/>
    <d v="2023-03-03T00:00:00"/>
    <s v="Radicado No. 20232310716951  --  Se busca establecer la metodología para clasificar las personas_x000a_prestadoras de los servicios públicos, de acuerdo con el nivel de riesgo y se definen los criterios,_x000a_metodologías, indicadores, parámetros y modelos de carácter obligatorio que permiten evaluar_x000a_su gestión y resultados"/>
    <m/>
    <m/>
    <m/>
    <x v="3"/>
    <x v="1"/>
    <s v="A Tiempo"/>
    <m/>
  </r>
  <r>
    <x v="43"/>
    <x v="1"/>
    <x v="81"/>
    <d v="2023-02-14T00:00:00"/>
    <d v="2023-02-14T00:00:00"/>
    <s v="copia del auto en donde se acepta solicitud de Vanti S.A._x000a_E.S.P. y se reconoce como parte interesada en la actuación iniciada por Transmetano_x000a_S.A. E.S.P., la cual consta en el expediente con número CREG 2022 – 0063."/>
    <s v="https://grupovanti.sharepoint.com/:b:/r/sites/GerenciadeRegulacin/Shared%20Documents/General/2023/Regulaci%C3%B3n/CREG%20MARZO/VANTI/S2023001048%20%2014-03.pdf?csf=1&amp;web=1&amp;e=Js7Mak"/>
    <m/>
    <m/>
    <x v="0"/>
    <x v="11"/>
    <s v="A Tiempo"/>
    <m/>
  </r>
  <r>
    <x v="44"/>
    <x v="17"/>
    <x v="82"/>
    <d v="2023-01-13T00:00:00"/>
    <d v="2023-01-13T00:00:00"/>
    <m/>
    <s v="Regulación\07-01-2023\Carta cita UPME.pdf"/>
    <m/>
    <m/>
    <x v="0"/>
    <x v="13"/>
    <s v="A Tiempo"/>
    <m/>
  </r>
  <r>
    <x v="44"/>
    <x v="1"/>
    <x v="83"/>
    <d v="2023-01-13T00:00:00"/>
    <d v="2023-01-13T00:00:00"/>
    <m/>
    <s v="Regulación\09-01-2023 Treceri interesado actuación adiministrativa Trabsmetano"/>
    <m/>
    <m/>
    <x v="0"/>
    <x v="13"/>
    <s v="A Tiempo"/>
    <m/>
  </r>
  <r>
    <x v="44"/>
    <x v="1"/>
    <x v="84"/>
    <d v="2023-01-13T00:00:00"/>
    <d v="2023-01-13T00:00:00"/>
    <m/>
    <s v="Regulación\10-01-2023  Tercero interesado actuación administrativa  Promigas S.A. E.S.P\Solicitud reconocimiento tercero Vanti - Promigas -10-01-2022.docx"/>
    <m/>
    <m/>
    <x v="0"/>
    <x v="13"/>
    <s v="A Tiempo"/>
    <m/>
  </r>
  <r>
    <x v="45"/>
    <x v="16"/>
    <x v="85"/>
    <d v="2022-12-09T00:00:00"/>
    <d v="2023-08-15T00:00:00"/>
    <s v="REQUERIMIENTO / Residenciales a los cuales se les prestó el servicio -  valor facturado  de Enero a Diciembre de 2022 / Concurso Economico"/>
    <s v="https://grupovanti.sharepoint.com/:b:/r/sites/GerenciadeRegulacin/Shared%20Documents/General/2023/Regulaci%C3%B3n/SPD/9726985%20-%200%20SP_%20VANTI_SDP_CONCURSOECO_2023.pdf?csf=1&amp;web=1&amp;e=MIOjTr"/>
    <m/>
    <m/>
    <x v="0"/>
    <x v="1"/>
    <s v="Retrasado"/>
    <m/>
  </r>
  <r>
    <x v="46"/>
    <x v="0"/>
    <x v="86"/>
    <d v="2023-01-17T00:00:00"/>
    <d v="2023-01-13T00:00:00"/>
    <s v="Remitir relación en formato Excel de las y de los trabajadores de la Secretaría_x000a_Distrital de Ambiente y otros requerimientos de informacion"/>
    <s v="https://grupovanti.sharepoint.com/sites/GerenciadeRegulacin/Shared%20Documents/General/2023/Regulación/01-01-2023%20DP-Jennfer%20Pedraza/DP%20Jennifer%20Pedraza.pdf"/>
    <s v="https://grupovanti.sharepoint.com/sites/GerenciadeRegulacin/Shared%20Documents/General/2023/Regulación/01-01-2023%20DP-Jennfer%20Pedraza/Dr%20Rodolfo%20Anaya%20A.pdf"/>
    <m/>
    <x v="0"/>
    <x v="1"/>
    <s v="A Tiempo"/>
    <m/>
  </r>
  <r>
    <x v="46"/>
    <x v="1"/>
    <x v="87"/>
    <d v="2023-01-13T00:00:00"/>
    <d v="2023-01-13T00:00:00"/>
    <s v="CITACIÓN"/>
    <s v="Regulación\05-01-2023 Citación para notificar la liquidación GNCB\S2022007187.pdf"/>
    <m/>
    <s v="S2022007187"/>
    <x v="1"/>
    <x v="14"/>
    <s v="A Tiempo"/>
    <m/>
  </r>
  <r>
    <x v="46"/>
    <x v="1"/>
    <x v="88"/>
    <d v="2023-02-16T00:00:00"/>
    <d v="2023-02-16T00:00:00"/>
    <s v="CITACIÓN"/>
    <s v="Regulación\04-01-2023 Citación para notificar la liquidación VANTI\S2022007111.pdf"/>
    <m/>
    <s v="S2022007111"/>
    <x v="0"/>
    <x v="14"/>
    <s v="A Tiempo"/>
    <m/>
  </r>
  <r>
    <x v="46"/>
    <x v="1"/>
    <x v="89"/>
    <d v="2023-01-13T00:00:00"/>
    <d v="2023-01-13T00:00:00"/>
    <s v="CITACIÓN"/>
    <s v="Regulación\03-01-2023 Citación para notificar la liquidación GOR\S2022007122.pdf"/>
    <m/>
    <s v="S2022007122"/>
    <x v="2"/>
    <x v="14"/>
    <s v="A Tiempo"/>
    <m/>
  </r>
  <r>
    <x v="46"/>
    <x v="1"/>
    <x v="90"/>
    <d v="2023-01-13T00:00:00"/>
    <d v="2023-01-13T00:00:00"/>
    <s v="CITACIÓN"/>
    <s v="Regulación\02-01-2023 Citación para notificar la liquidación GNCR\S2022007121.pdf"/>
    <m/>
    <s v="S2022007121"/>
    <x v="3"/>
    <x v="14"/>
    <s v="A Tiempo"/>
    <m/>
  </r>
  <r>
    <x v="47"/>
    <x v="1"/>
    <x v="91"/>
    <d v="2023-01-16T00:00:00"/>
    <d v="2022-12-22T00:00:00"/>
    <s v="Antecedentes (la comunicación en el asunto, S-2022-006175) // Expediente CREG 2020-0118 -- ( Radicado CREG E-2020-010584 -- la Comisión realizó un ejercicio de depuración de dichos gastos con_x000a_fundamento en lo dispuesto en el Anexo 10 de la Metodología contenida en las Resoluciones_x000a_CREG 202 de 2013, 138 de 2014, 090 y 132 de 2018, y 011 de 2020) // R1 22/12/22  CREG E-2022-015899 (Solicitud de ampliación del plazo otorgado mediante auto del 16 de diciembre de 2022, por un término de treinta (30) días hábiles adicionales al inicialmente otorgado) // Radicado CREG E-2020-010584 ( Comisión encuentra procedente la _x000a_ampliación del plazo para atender las pruebas decretadas + 30 dias habiles) // "/>
    <m/>
    <m/>
    <m/>
    <x v="0"/>
    <x v="1"/>
    <s v="A Tiempo"/>
    <m/>
  </r>
  <r>
    <x v="21"/>
    <x v="0"/>
    <x v="92"/>
    <d v="2023-02-20T00:00:00"/>
    <d v="2023-02-20T00:00:00"/>
    <s v="Comentarios para cada uno de los puntos del comunicado"/>
    <m/>
    <s v="https://grupovanti.sharepoint.com/:b:/r/sites/GerenciadeRegulacin/Shared%20Documents/General/2023/Regulaci%C3%B3n/18/18-Respuesta%20SSPD%20Radicado%2020232310504851%20.pdf?csf=1&amp;web=1&amp;e=82XnXb"/>
    <m/>
    <x v="0"/>
    <x v="1"/>
    <s v="A Tiempo"/>
    <m/>
  </r>
  <r>
    <x v="21"/>
    <x v="1"/>
    <x v="93"/>
    <d v="2023-02-17T00:00:00"/>
    <d v="2023-02-17T00:00:00"/>
    <s v="El  documento  tiene  por  objetivo  presentar  una respuesta  amplia  y  suficiente  a  la solicitud de la CREG del origen, ubicación y justificación de algunas cuentas de costos y gastos de  la  actividad  de  distribución"/>
    <m/>
    <s v="https://grupovanti.sharepoint.com/:b:/r/sites/GerenciadeRegulacin/Shared%20Documents/General/2023/Regulaci%C3%B3n/17/2023.02.15%20-Respuesta%20AUTO%20de%20pruebas%20Vanti%20MCB%204.pdf?csf=1&amp;web=1&amp;e=Y157Og"/>
    <m/>
    <x v="0"/>
    <x v="1"/>
    <s v="A Tiempo"/>
    <m/>
  </r>
  <r>
    <x v="48"/>
    <x v="11"/>
    <x v="94"/>
    <d v="2022-10-25T00:00:00"/>
    <m/>
    <m/>
    <m/>
    <m/>
    <m/>
    <x v="0"/>
    <x v="1"/>
    <s v="pendiente"/>
    <m/>
  </r>
  <r>
    <x v="48"/>
    <x v="11"/>
    <x v="95"/>
    <d v="2022-10-26T00:00:00"/>
    <m/>
    <m/>
    <m/>
    <m/>
    <s v="Consejo de Bogota "/>
    <x v="0"/>
    <x v="1"/>
    <s v="pendiente"/>
    <m/>
  </r>
  <r>
    <x v="49"/>
    <x v="0"/>
    <x v="96"/>
    <d v="2022-10-25T00:00:00"/>
    <d v="2022-10-25T00:00:00"/>
    <m/>
    <s v="20222314529971.pdf"/>
    <m/>
    <m/>
    <x v="0"/>
    <x v="1"/>
    <s v="A Tiempo"/>
    <m/>
  </r>
  <r>
    <x v="49"/>
    <x v="18"/>
    <x v="97"/>
    <d v="2022-10-24T00:00:00"/>
    <m/>
    <m/>
    <s v="M:\AUDITORIA AEGR\2022\SOLICITUD DE INFORMACIÓN No 1 AERG GRUPO VANTI 2022 (1).pdf"/>
    <m/>
    <m/>
    <x v="0"/>
    <x v="1"/>
    <s v="pendiente"/>
    <m/>
  </r>
  <r>
    <x v="49"/>
    <x v="18"/>
    <x v="98"/>
    <d v="2022-11-04T00:00:00"/>
    <m/>
    <m/>
    <s v="M:\AUDITORIA AEGR\2022\SOLICITUD DE INFORMACIÓN No 1 AERG GRUPO VANTI 2022.pdf"/>
    <m/>
    <m/>
    <x v="0"/>
    <x v="1"/>
    <s v="pendiente"/>
    <m/>
  </r>
  <r>
    <x v="49"/>
    <x v="0"/>
    <x v="96"/>
    <d v="2022-10-24T00:00:00"/>
    <d v="2022-10-24T00:00:00"/>
    <m/>
    <s v="147\20222314529971.pdf"/>
    <m/>
    <m/>
    <x v="0"/>
    <x v="1"/>
    <s v="A Tiempo"/>
    <m/>
  </r>
  <r>
    <x v="50"/>
    <x v="1"/>
    <x v="99"/>
    <d v="2022-10-24T00:00:00"/>
    <d v="2022-10-07T00:00:00"/>
    <s v="Comentarios al proyecto de resolución CREG 702 008 de 2022"/>
    <m/>
    <s v="145 - Actuación Administrativa I2022007103 Expedientes Gasnacer_vfinal.pdf"/>
    <m/>
    <x v="0"/>
    <x v="4"/>
    <s v="A Tiempo"/>
    <m/>
  </r>
  <r>
    <x v="51"/>
    <x v="0"/>
    <x v="100"/>
    <d v="2022-10-03T00:00:00"/>
    <d v="2022-10-02T00:00:00"/>
    <s v="Se solicita información en relación a facturación para el suscriptor 62873273,Vanti SA ESP realizó el ajuste en la facturación del mes de julio, el cual se confirmó al cliente mediante carta entregada del 05 de julio de 2022 "/>
    <s v="X:\CONSECUTIVOS\2022\Regulacion\143\20222314222231.pdf"/>
    <s v="X:\CONSECUTIVOS\2022\Regulacion\143\143-09-2022 Respuesta al requerimeinto 20222314222231.docx"/>
    <m/>
    <x v="1"/>
    <x v="1"/>
    <s v="A Tiempo"/>
    <m/>
  </r>
  <r>
    <x v="52"/>
    <x v="0"/>
    <x v="101"/>
    <d v="2022-10-03T00:00:00"/>
    <d v="2022-09-30T00:00:00"/>
    <s v="Se solicita información relacionada con un evento de suspensión del servicio registrado en el municipio La Gloria del departamento del Cesar,1419 clientes que fueron afectados por la suspensión del servicio, indicando en cada caso la información solicitada en su requerimiento.a la fecha, el suministro del servicio en el municipio La _x000a_Gloria opera con normalidad. Se reitera que el servicio fue restablecido el día 18 de septiembre de 2022"/>
    <s v="X:\CONSECUTIVOS\2022\Regulacion\139\20222314159701 (1).pdf"/>
    <s v="X:\CONSECUTIVOS\2022\Regulacion\139\139-09-2022 Respuesta al requerimiento 20222314159701_JR.pdf"/>
    <m/>
    <x v="3"/>
    <x v="1"/>
    <s v="A Tiempo"/>
    <m/>
  </r>
  <r>
    <x v="53"/>
    <x v="0"/>
    <x v="102"/>
    <d v="2022-09-30T00:00:00"/>
    <d v="2022-09-30T00:00:00"/>
    <s v="Se solicita información en relación con calidad de la información cargada en el año 2021 al Sistema Único de Información, _x000a_De aprobarse la presente solicitud, se cargará la información correspondiente cumpliendo con el compromiso de VANTI S.A. E.S.P. de garantizar la calidad de la información reportada al SUI."/>
    <s v="X:\CONSECUTIVOS\2022\Regulacion\138\SUI.pdf"/>
    <s v="X:\CONSECUTIVOS\2022\Regulacion\138\138-09-2022 Respuesta al requerimiento Radicado No. 20222304029891_JR.docx"/>
    <m/>
    <x v="0"/>
    <x v="3"/>
    <s v="A Tiempo"/>
    <m/>
  </r>
  <r>
    <x v="54"/>
    <x v="0"/>
    <x v="103"/>
    <d v="2022-10-04T00:00:00"/>
    <d v="2022-09-26T00:00:00"/>
    <s v="Se solicita información en relación con las facturas de suministro y transporte e información tarifaria para el periodo de julio de 2022, se enviaron las facturas siporte Además, se adicionó la hoja “Notas Empresa” con información adicional que consideramos _x000a_pertinente para sus actividades de validación de información"/>
    <s v="X:\CONSECUTIVOS\2022\Regulacion\137\20222314175091.pdf"/>
    <s v="X:\CONSECUTIVOS\2022\Regulacion\137\137 -Respuesta SSPD Radicado 20222314175091 Vanti_jul.pdf"/>
    <m/>
    <x v="0"/>
    <x v="1"/>
    <s v="A Tiempo"/>
    <m/>
  </r>
  <r>
    <x v="55"/>
    <x v="1"/>
    <x v="104"/>
    <d v="2022-09-26T00:00:00"/>
    <d v="2022-09-26T00:00:00"/>
    <s v="Las contribuciones deberán ser pagadas dentro del plazo señalado en el Parágrafo anterior, descontando la suma consignada como anticipo. Al respecto informamos, que Dado que el acto liquidatario quedó en firme hasta el mes de septiembre de 2022 no se generó el pago del anticipo, no obstante este será cancelado una vez contemos _x000a_con la liquidación final de la contribución 2022."/>
    <m/>
    <s v="Respuesta Numero de radicado S2022003386 - 2022-08-26 Requerimiento e inicio del cobro persuasivo 1-2022 saldo de cartera de contribución especial Res213_21.pdf"/>
    <m/>
    <x v="0"/>
    <x v="1"/>
    <s v="A Tiempo"/>
    <m/>
  </r>
  <r>
    <x v="56"/>
    <x v="1"/>
    <x v="105"/>
    <d v="2022-10-04T00:00:00"/>
    <d v="2022-10-04T00:00:00"/>
    <s v="las estructuras orientadoras y los modelos simplificados para las unidades de servicio _x000a_de distribución y comercialización de gas natural. Además, con el fin de dar una mejor precisión _x000a_a los costos a ser asignados a cada actividad, la norma incluye la Librería de Actividades Servicio _x000a_Gas Combustible. Es con base en este marco conceptual que la empresa reporta los costos, _x000a_directos e indirectos, tanto a la SSPD como a la CREG cuando ésta lo solicita, tal como es el caso _x000a_de la Circular 065 de 2017"/>
    <s v="144 - Actuación Administrativa I2022007106 Expediente Gasoriente_vfinal.pdf"/>
    <s v="79_05_2023_RTA GOR_144 - Actuación Administrativa I2022007106 Expediente Gasoriente_vfinal"/>
    <m/>
    <x v="2"/>
    <x v="3"/>
    <s v="A Tiempo"/>
    <m/>
  </r>
  <r>
    <x v="56"/>
    <x v="1"/>
    <x v="106"/>
    <d v="2022-10-04T00:00:00"/>
    <d v="2022-10-04T00:00:00"/>
    <s v="las estructuras orientadoras y los modelos simplificados para las unidades de servicio _x000a_de distribución y comercialización de gas natural. Además, con el fin de dar una mejor precisión _x000a_a los costos a ser asignados a cada actividad, la norma incluye la Librería de Actividades Servicio _x000a_Gas Combustible. Es con base en este marco conceptual que la empresa reporta los costos, _x000a_directos e indirectos, tanto a la SSPD como a la CREG cuando ésta lo solicita, tal como es el caso _x000a_de la Circular 065 de 2017"/>
    <m/>
    <s v="028-2022 Vanti CREG Solicitud de tercero interesado- 099-2021\028-2022 Vanti CREG Solicitud de tercero interesado- 099-2021.pdf"/>
    <m/>
    <x v="3"/>
    <x v="3"/>
    <s v="A Tiempo"/>
    <m/>
  </r>
  <r>
    <x v="57"/>
    <x v="0"/>
    <x v="107"/>
    <d v="2022-09-21T00:00:00"/>
    <d v="2022-09-20T00:00:00"/>
    <s v="Se solicita información en relación. la atención a estas emergencias quedó registrado bajo los eventos C102060963, C102086543 y C102064926. Se adjunta a este comunicado. Con relación a esta situación, la empresa Vanti S.A. ESP dentro de acuerdos realizados con la _x000a_comunidad ofreció pagar los estudios a fin de determinar el origen de los olores ofensivos acorde a las solicitudes del Colegio Departamental Sabio Mutis_x000a_con las posibles fugas cercanos a la Institución Educativa Departamental Sabio Mutis del _x000a_Municipio de La Mesa – Cundinamarca"/>
    <s v="X:\CONSECUTIVOS\2022\Regulacion\132\20222314120721.pdf"/>
    <s v="X:\CONSECUTIVOS\2022\Regulacion\132\132-09-2022 -Respuesta SSPD Radicado  20222314120721.docx"/>
    <m/>
    <x v="0"/>
    <x v="1"/>
    <s v="A Tiempo"/>
    <m/>
  </r>
  <r>
    <x v="58"/>
    <x v="0"/>
    <x v="108"/>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4\134-09-2022 -Respuesta SSPD Radicado  20222304046311.docx"/>
    <m/>
    <x v="0"/>
    <x v="1"/>
    <s v="A Tiempo"/>
    <m/>
  </r>
  <r>
    <x v="58"/>
    <x v="0"/>
    <x v="108"/>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4\134-09-2022 -Respuesta SSPD Radicado  20222304046311.docx"/>
    <m/>
    <x v="3"/>
    <x v="1"/>
    <s v="A Tiempo"/>
    <m/>
  </r>
  <r>
    <x v="58"/>
    <x v="0"/>
    <x v="108"/>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5\135-09-2022 -Respuesta SSPD Radicado  20222304046311.docx"/>
    <m/>
    <x v="2"/>
    <x v="1"/>
    <s v="A Tiempo"/>
    <m/>
  </r>
  <r>
    <x v="58"/>
    <x v="0"/>
    <x v="108"/>
    <d v="2022-09-21T00:00:00"/>
    <d v="2022-09-21T00:00:00"/>
    <s v="Se solicita información de los medidores en Colombia, atentamente nos permitimos remitir la información para cada uno de los municipios atendidos por GAS NATURAL CUNDIBOYACENSE SA ESP. "/>
    <s v="X:\CONSECUTIVOS\2022\Regulacion\136\20222304046311 - Requerimiento Medidores.pdf"/>
    <s v="X:\CONSECUTIVOS\2022\Regulacion\136\136-09-2022 -Respuesta SSPD Radicado  20222304046311.docx"/>
    <m/>
    <x v="1"/>
    <x v="1"/>
    <s v="A Tiempo"/>
    <m/>
  </r>
  <r>
    <x v="59"/>
    <x v="17"/>
    <x v="109"/>
    <d v="2022-09-23T00:00:00"/>
    <d v="2022-09-23T00:00:00"/>
    <s v="Como comentario general,e para _x000a_varios de los tramos de gasoductos las demandas proyectadas son considerablemente inferiores a las que _x000a_se han observado en los últimos años y a las proyecciones de crecimiento que tenemos las empresas. Este _x000a_hecho hace que sea de bastante relevancia, para poder hacer un análisis integral poder conocer los supuestos en detalle que ha utilizado el transportador para realizar sus proyecciones."/>
    <s v="X:\CONSECUTIVOS\2022\Regulacion\125\Circular068-2022.pdf"/>
    <s v="X:\CONSECUTIVOS\2022\Regulacion\123-08-2022 Verificación tarifaria junio 2022\123-08-2022 Comentarios pliegos Planta del Pacífico.pdf"/>
    <s v="X:\CONSECUTIVOS\2022\Regulacion\123-08-2022 Verificación tarifaria junio 2022\Requerimiento verificación tarifaria 20222312934301_abr.xlsx"/>
    <x v="0"/>
    <x v="15"/>
    <s v="A Tiempo"/>
    <m/>
  </r>
  <r>
    <x v="59"/>
    <x v="17"/>
    <x v="110"/>
    <d v="2022-09-23T00:00:00"/>
    <d v="2022-09-23T00:00:00"/>
    <s v="Como comentario general,e para _x000a_varios de los tramos de gasoductos las demandas proyectadas son considerablemente inferiores a las que _x000a_se han observado en los últimos años y a las proyecciones de crecimiento que tenemos las empresas. Este _x000a_hecho hace que sea de bastante relevancia, para poder hacer un análisis integral poder conocer los supuestos en detalle que ha utilizado el transportador para realizar sus proyecciones."/>
    <s v="X:\CONSECUTIVOS\2022\Regulacion\125\Circular068-2022.pdf"/>
    <s v="X:\CONSECUTIVOS\2022\Regulacion\125\125-08-2022 Comentarios Circular 68 2022.docx"/>
    <s v="Circular CREG 068 de 2022"/>
    <x v="0"/>
    <x v="15"/>
    <s v="A Tiempo"/>
    <m/>
  </r>
  <r>
    <x v="60"/>
    <x v="11"/>
    <x v="111"/>
    <d v="2022-08-24T00:00:00"/>
    <d v="2022-08-24T00:00:00"/>
    <s v="Si bien la declaración de producción de Ecopetrol para el campo Gibraltar muestra que dicho campo deja de producir gas a partir del año 2029, lo que se observa en la prospectividad de la zona es que aún existen recursos importantes de gas natural por ser descubiertos y desarollados en esta zona que guarda similitud geológica con la zona de producción del piedemonte. En este sentido, no es coherente pronosticar un agotamiento abrupto en la fuente Gibraltar, y por ende, tampoco es coherente proyectar que este tramo no tendrá demanda a partir de 2029. Esto llevaría a incrementar la tarifa en este tramo, siendo aún más costosa de lo que es hoy en día, e inviabilizando cualquier nuevo gas que eventualmente pueda ser desarrollado en esta zona del país."/>
    <s v="Comentarios_demandasPromioriente.xlsx"/>
    <m/>
    <m/>
    <x v="2"/>
    <x v="4"/>
    <s v="A Tiempo"/>
    <m/>
  </r>
  <r>
    <x v="60"/>
    <x v="11"/>
    <x v="112"/>
    <d v="2022-08-24T00:00:00"/>
    <d v="2022-08-24T00:00:00"/>
    <s v="Promigas"/>
    <s v="Comentarios_demandasPromigas.xlsx"/>
    <m/>
    <m/>
    <x v="0"/>
    <x v="4"/>
    <s v="A Tiempo"/>
    <m/>
  </r>
  <r>
    <x v="60"/>
    <x v="1"/>
    <x v="113"/>
    <d v="2022-08-24T00:00:00"/>
    <d v="2022-08-24T00:00:00"/>
    <s v="definir demandas por tramos con la incertidumbre que genera la declaración de producción y las opciones de importación.  Es por lo anterior, y tal como lo prevé la Resolución CREG 175 de 2021 que pedimos se estudie la aplicación de un escenario general de agregación de tramos, el cual minimizaría el impacto que puede tener para la demanda las distorsiones que generan las proyecciones conservadoras por parte de los transportadores. De esta forma se observará el beneficio que tiene migrar hacia ese esquema que reducirá la complejidad de aplicación e irá en pro de los usuarios finales."/>
    <s v="Comentarios Circu-lar 72-2022_DemandaPromioriente.pdf"/>
    <m/>
    <m/>
    <x v="0"/>
    <x v="4"/>
    <s v="A Tiempo"/>
    <m/>
  </r>
  <r>
    <x v="61"/>
    <x v="0"/>
    <x v="114"/>
    <d v="2022-08-26T00:00:00"/>
    <d v="2022-08-25T00:00:00"/>
    <s v="Se solicita información relacionada conde un evento de suministro de gas por fuera de las condiciones RUT desde el campo de producción Apiay. no se tiene contrato de suministro de fuente APIAY. Nuestros contratos de suministro son de fuente Cusiana/Cupiagua. la demanda de Bogotá fue atendida con normalidad."/>
    <m/>
    <s v="X:\CONSECUTIVOS\2022\Regulacion\129\129-08-2022 Respuesta al requierimiento 20222313558151 por evento en Campo Apiay.docx"/>
    <m/>
    <x v="0"/>
    <x v="1"/>
    <s v="A Tiempo"/>
    <m/>
  </r>
  <r>
    <x v="62"/>
    <x v="0"/>
    <x v="115"/>
    <d v="2022-08-25T00:00:00"/>
    <d v="2022-08-25T00:00:00"/>
    <s v="Se solicita información en relación con Calidad de la información cargada en el año 2021 al Sistema Único de Información -SUI de acuerdo con los lineamientos _x000a_establecidos en la Circular Conjunta CREG -SSPD No -01 de 2006 y en la resolución CREG 100 de 2003"/>
    <s v="X:\CONSECUTIVOS\2022\Regulacion\128\20222313579771.pdf"/>
    <s v="X:\CONSECUTIVOS\2022\Regulacion\126\126-08-2022 Respuesta al requerimeinto 20222313581611.docx"/>
    <s v="resolución CREG 100 de 2003"/>
    <x v="1"/>
    <x v="1"/>
    <s v="A Tiempo"/>
    <m/>
  </r>
  <r>
    <x v="62"/>
    <x v="0"/>
    <x v="115"/>
    <d v="2022-08-25T00:00:00"/>
    <d v="2022-08-25T00:00:00"/>
    <s v="Se solicita información en relación con Calidad de la información cargada en el año 2021 al Sistema Único de Información -SUI de acuerdo con los lineamientos _x000a_establecidos en la Circular Conjunta CREG -SSPD No -01 de 2006 y en la resolución CREG 100 de 2003"/>
    <s v="X:\CONSECUTIVOS\2022\Regulacion\128\20222313579771.pdf"/>
    <s v="X:\CONSECUTIVOS\2022\Regulacion\127\127-08-2022 Respuesta al requerimiento 20222313579391.docx"/>
    <s v="resolución CREG 100 de 2003"/>
    <x v="2"/>
    <x v="1"/>
    <s v="A Tiempo"/>
    <m/>
  </r>
  <r>
    <x v="62"/>
    <x v="0"/>
    <x v="115"/>
    <d v="2022-08-25T00:00:00"/>
    <d v="2022-08-25T00:00:00"/>
    <s v="Se solicita información en relación con Calidad de la información cargada en el año 2021 al Sistema Único de Información -SUI de acuerdo con los lineamientos _x000a_establecidos en la Circular Conjunta CREG -SSPD No -01 de 2006 y en la resolución CREG 100 de 2003"/>
    <s v="X:\CONSECUTIVOS\2022\Regulacion\128\20222313579771.pdf"/>
    <s v="X:\CONSECUTIVOS\2022\Regulacion\128\128-08-2022 Respuesta al requerimiento 20222313579771.pdf"/>
    <s v="resolución CREG 100 de 2003"/>
    <x v="1"/>
    <x v="1"/>
    <s v="A Tiempo"/>
    <m/>
  </r>
  <r>
    <x v="63"/>
    <x v="0"/>
    <x v="116"/>
    <d v="2022-08-19T00:00:00"/>
    <d v="2022-08-16T00:00:00"/>
    <s v="Se adjunta a este comunicado, soporte del evento y formato de atención de la emergencia. Cabe resaltar _x000a_que la información fue reportada en el reporte T2 RESPUESTA SERVICIO TECNICO del mes de julio de 2022, se dispone de la línea de atención telefónica de emergencias las 24 horas, los 365 días _x000a_del año para informar casos de emergencias como fugas, intoxicación, roturas de la red, incendios y _x000a_explosiones asociadas al uso de gas natural."/>
    <m/>
    <s v="118\118-08-2022 Respuesta al requierimiento 20222313510581 suspensiones en el servicio de gas natural en Bogotá_.docx"/>
    <s v="Radicación al correo de servicio al cliente Respuesta tardia "/>
    <x v="0"/>
    <x v="1"/>
    <s v="A Tiempo"/>
    <m/>
  </r>
  <r>
    <x v="64"/>
    <x v="0"/>
    <x v="117"/>
    <d v="2022-07-18T00:00:00"/>
    <d v="2022-08-08T00:00:00"/>
    <s v="Se adjunta a este comunicado, soporte del evento y formato de atención de la emergencia. Cabe resaltar _x000a_que la información fue reportada en el reporte T2 RESPUESTA SERVICIO TECNICO del mes de julio de 2022, se dispone de la línea de atención telefónica de emergencias las 24 horas, los 365 días _x000a_del año para informar casos de emergencias como fugas, intoxicación, roturas de la red, incendios y _x000a_explosiones asociadas al uso de gas natural."/>
    <m/>
    <s v="117\117-08-2022 Respuesta al requerimeinto 20222313389851.pdf"/>
    <s v="Radicación al correo de servicio al cliente Respuesta tardia "/>
    <x v="1"/>
    <x v="1"/>
    <s v="Retrasado"/>
    <m/>
  </r>
  <r>
    <x v="65"/>
    <x v="0"/>
    <x v="118"/>
    <d v="2022-07-28T00:00:00"/>
    <d v="2022-07-27T00:00:00"/>
    <s v="Se solicita información en relación con las facturas de suministro y transporte e información tarifaria para el periodo de mayo de 2022,e consideramos _x000a_pertinente para sus actividades de validación de información, de igual manera, en la plantilla_x000a_donde se reportó la información de suministro y transporte fueron incluidas nuevas columnas _x000a_con información adicional que sirva de apoyo para su análisis."/>
    <s v="112-07-2022 Respuesta SSPD - Verifiación tarifaria mayo\may\20222313390091.pdf"/>
    <s v="112-07-2022 Respuesta SSPD - Verifiación tarifaria mayo\may\112 -Respuesta SSPD Radicado 20222313390091 Vanti_may.pdf"/>
    <m/>
    <x v="0"/>
    <x v="1"/>
    <s v="A Tiempo"/>
    <m/>
  </r>
  <r>
    <x v="66"/>
    <x v="1"/>
    <x v="119"/>
    <d v="2022-07-19T00:00:00"/>
    <d v="2022-07-19T00:00:00"/>
    <s v="Insistimos en que conforme al principio de Equidad debe darse un trato igual a los iguales y desigual a los desiguales, esto es, que todas las personas que se coloquen en el mismo supuesto jurídico de causación, deben de atender a su obligación de contribuir en los mismos términos. Así, todas las empresas vigiladas por la SSPD, deben recibir igual trato frente a la determinación de sus deberes ante la entidad, y esta debe proceder en consecuencia de cara a la recuperación de los costos de los servicios que les presten o participación en los beneficios que les proporcionen a los prestadores."/>
    <m/>
    <s v="108-06-2022 Carta Vanti comentarios CREG 702 005 enviar\108-06-2022 Carta Vanti comentarios CREG 702 005 enviar.pdf"/>
    <m/>
    <x v="0"/>
    <x v="15"/>
    <s v="A Tiempo"/>
    <m/>
  </r>
  <r>
    <x v="67"/>
    <x v="1"/>
    <x v="120"/>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19\119 - Respuesta radicado S-2022-002247 Reporte de información de gastos AOM_GOR.pdf"/>
    <m/>
    <x v="2"/>
    <x v="14"/>
    <s v="A Tiempo"/>
    <m/>
  </r>
  <r>
    <x v="67"/>
    <x v="1"/>
    <x v="120"/>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20\120 - Respuesta Reporte de información de gastos AOM_Cundi.pdf"/>
    <m/>
    <x v="3"/>
    <x v="14"/>
    <s v="A Tiempo"/>
    <m/>
  </r>
  <r>
    <x v="67"/>
    <x v="1"/>
    <x v="120"/>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21\121 - Respuesta radicado S-2022-002241 Reporte de información de gastos AOM_Vanti.pdf"/>
    <m/>
    <x v="0"/>
    <x v="14"/>
    <s v="A Tiempo"/>
    <m/>
  </r>
  <r>
    <x v="67"/>
    <x v="1"/>
    <x v="121"/>
    <d v="2022-08-23T00:00:00"/>
    <d v="2022-08-19T00:00:00"/>
    <s v="la Comisión no pudo almacenar en la _x000a_plataforma ICR la información de gastos AOM, solicitada mediante Circular CREG 114 de 2019 y 052 de _x000a_2021, por contener valores negativos en las plantillas 503 Costos de Distribución y 504 Costos de _x000a_Comercialización"/>
    <m/>
    <s v="122\122 - Respuesta Reporte de información de gastos AOM_Gasnacer.pdf"/>
    <m/>
    <x v="1"/>
    <x v="15"/>
    <s v="A Tiempo"/>
    <m/>
  </r>
  <r>
    <x v="68"/>
    <x v="1"/>
    <x v="122"/>
    <d v="2022-06-21T00:00:00"/>
    <d v="2022-06-21T00:00:00"/>
    <s v="Solicitamos a la CREG, bajo el entendimiento y premisa obvia de que el hecho de poder efectuar el cálculo de dicho costo a trasladar vía tarifa, corresponde a que efectivamente las contribuciones adicionales años 2020 y 2021 se hayan pagado, aclarar que el cálculo del costo mensual de la Contribución Adicional de que trata el Artículo 314 de la Ley 1955 de 2019, corresponderá para el primer año de aplicación del cargo, a la contribución adicional liquidada, ejecutoriada y pagada respecto del año 2020; y para el segundo año, a la liquidada, ejecutoriada y pagada respecto del año 2021. "/>
    <s v="107-06-2022 Solicitud de aclaración Artículo 17 de la Resolución CREG 102  003 de 2022\Creg102-003.pdf"/>
    <s v="107-06-2022 Solicitud de aclaración Artículo 17 de la Resolución CREG 102  003 de 2022\107-06-2022 Solicitud de aclaración Artículo 17 de la Resolución CREG 102  003 de 2022.docx"/>
    <m/>
    <x v="0"/>
    <x v="15"/>
    <s v="A Tiempo"/>
    <m/>
  </r>
  <r>
    <x v="69"/>
    <x v="19"/>
    <x v="123"/>
    <d v="2022-06-17T00:00:00"/>
    <d v="2022-06-17T00:00:00"/>
    <s v="Con relación a su evaluación correspondiente a la Auditoría Externa de Gestión y Resultados de Vanti S.A. E.S.P., por el año terminado al 31 de diciembre de 2021, confirmamos a nuestro leal saber y entender, a la fecha de esta carta"/>
    <m/>
    <s v="102 - Carta de manifestación AEGR 2021_Vanti\102 - Carta de manifestación AEGR 2021_Vanti.docx"/>
    <m/>
    <x v="0"/>
    <x v="14"/>
    <s v="A Tiempo"/>
    <m/>
  </r>
  <r>
    <x v="69"/>
    <x v="19"/>
    <x v="123"/>
    <d v="2022-06-17T00:00:00"/>
    <d v="2022-06-17T00:00:00"/>
    <s v="Con relación a su evaluación correspondiente a la Auditoría Externa de Gestión y Resultados de Vanti S.A. E.S.P., por el año terminado al 31 de diciembre de 2021, confirmamos a nuestro leal saber y entender, a la fecha de esta carta"/>
    <m/>
    <s v="103 - Carta de manifestación AEGR 2021_Gasoriente\103 - Carta de manifestación AEGR 2021_Gasoriente.docx"/>
    <m/>
    <x v="2"/>
    <x v="14"/>
    <s v="A Tiempo"/>
    <m/>
  </r>
  <r>
    <x v="69"/>
    <x v="19"/>
    <x v="123"/>
    <d v="2022-06-17T00:00:00"/>
    <d v="2022-06-17T00:00:00"/>
    <s v="Con relación a su evaluación correspondiente a la Auditoría Externa de Gestión y Resultados de Vanti S.A. E.S.P., por el año terminado al 31 de diciembre de 2021, confirmamos a nuestro leal saber y entender, a la fecha de esta carta"/>
    <m/>
    <s v="104 - Carta de manifestación AEGR 2021_Cundi\104 - Carta de manifestación AEGR 2021_Cundi.docx"/>
    <m/>
    <x v="1"/>
    <x v="14"/>
    <s v="A Tiempo"/>
    <m/>
  </r>
  <r>
    <x v="69"/>
    <x v="19"/>
    <x v="123"/>
    <d v="2022-06-17T00:00:00"/>
    <d v="2022-06-17T00:00:00"/>
    <s v="Con relación a su evaluación correspondiente a la Auditoría Externa de Gestión y Resultados de Vanti S.A. E.S.P., por el año terminado al 31 de diciembre de 2021, confirmamos a nuestro leal saber y entender, a la fecha de esta carta"/>
    <m/>
    <s v="105 - Carta de manifestación AEGR 2021_Gasnacer\105 - Carta de manifestación AEGR 2021_Gasnacer.docx"/>
    <m/>
    <x v="3"/>
    <x v="14"/>
    <s v="A Tiempo"/>
    <m/>
  </r>
  <r>
    <x v="70"/>
    <x v="0"/>
    <x v="124"/>
    <d v="2022-06-30T00:00:00"/>
    <d v="2022-06-30T00:00:00"/>
    <s v="En relación con el proyecto de resolución por la cual se establece el monto de la tarifa de la contribución _x000a_especial para el año 2021 a la cual se encuentran sujetos los prestadores de servicios públicos domiciliarios _x000a_y/o quienes desarrollen las actividades complementarias a dichos servicios, definidas en las leyes 142 y _x000a_143 de 1994, nos permitimos manifestar los siguientes comentarios"/>
    <m/>
    <s v="109-06-2022 Comentarios al proyecto de resolución tarifa de la contribución especial para el año 2022\Comentarios Resolución contribuciones 2022 sspd.pdf"/>
    <m/>
    <x v="0"/>
    <x v="15"/>
    <s v="A Tiempo"/>
    <m/>
  </r>
  <r>
    <x v="71"/>
    <x v="0"/>
    <x v="125"/>
    <d v="2022-07-19T00:00:00"/>
    <d v="2022-07-19T00:00:00"/>
    <s v="se establece el monto de la tarifa de la contribución especial para el año 2021 a la cual se encuentran sujetos los prestadores de servicios públicos domiciliarios y/o quienes desarrollen las actividades complementarias a dichos servicios, definidas en las leyes 142 y 143 de 1994, nos permitimos manifestar los siguientes comentarios."/>
    <m/>
    <s v="111\111-06-2022 Comentarios al proyecto de resolución tarifa de la contribución especial para el año 2022.docx"/>
    <m/>
    <x v="0"/>
    <x v="15"/>
    <s v="A Tiempo"/>
    <m/>
  </r>
  <r>
    <x v="72"/>
    <x v="2"/>
    <x v="126"/>
    <d v="2022-06-09T00:00:00"/>
    <d v="2022-06-09T00:00:00"/>
    <s v="Ecopetrol es el agente más grande en los mercados mayoristas de GLP y Gas Natural, sin embargo, se está procurando una reducción de precios, solamente en el mercado de GLP. En este sentido, solicitamos que se revisen las señales regulatorias que se están dando, para que se continúe con la política exitosa de trato equitativo de estos dos energéticos, complementarios y en competencia, que ha tenido el gobierno hasta ahora"/>
    <m/>
    <s v="092-06-2022 Comentarios Grupo Vanti Proyecto de resolución Por la cual se solicita la adopción de medidas en relación con la Oferta Publica de Cantidades de GLP para el segundo semestre de 2022"/>
    <m/>
    <x v="0"/>
    <x v="15"/>
    <s v="A Tiempo"/>
    <m/>
  </r>
  <r>
    <x v="73"/>
    <x v="0"/>
    <x v="127"/>
    <d v="2022-08-13T00:00:00"/>
    <d v="2022-08-13T00:00:00"/>
    <s v="se solicita información en relación con la visita realizada a las instalaciones de la estación de servicio EDS Puerta del Sol."/>
    <s v="093-06-2022 -Respuesta SSPD Radicado 20222312756431 EDS Puerta del Sol\120222312756431_00001.pdf"/>
    <s v="093-06-2022 -Respuesta SSPD Radicado 20222312756431 EDS Puerta del Sol\093-06-2022 -Respuesta SSPD Radicado 20222312756431 EDS Puerta del Sol.docx"/>
    <m/>
    <x v="0"/>
    <x v="1"/>
    <s v="A Tiempo"/>
    <m/>
  </r>
  <r>
    <x v="73"/>
    <x v="1"/>
    <x v="128"/>
    <d v="2022-06-14T00:00:00"/>
    <d v="2022-06-14T00:00:00"/>
    <s v=" Comunicación aclarando los criterios que usamos para el reporte de información. se realiza el cargue de las plantillas por cada empresa con la información de cada mercado por separado."/>
    <m/>
    <s v="094-06-2022-Criterios reporte de información en Apligas para expedientes de comercialización de Vanti S.A. E.S.P\Carta CREG Apligas Vanti.docx"/>
    <m/>
    <x v="0"/>
    <x v="15"/>
    <s v="A Tiempo"/>
    <m/>
  </r>
  <r>
    <x v="73"/>
    <x v="1"/>
    <x v="129"/>
    <d v="2022-06-14T00:00:00"/>
    <d v="2022-06-14T00:00:00"/>
    <s v=" Comunicación aclarando los criterios que usamos para el reporte de información. se realiza el cargue de las plantillas por cada empresa con la información de cada mercado por separado."/>
    <m/>
    <s v="095-06-2022 Criterios reporte de información en Apligas para expedientes de comercialización de Gas Natural del Oriente S.A. E.S.P\Carta CREG Apligas Gasoriente.docx"/>
    <m/>
    <x v="2"/>
    <x v="15"/>
    <s v="A Tiempo"/>
    <m/>
  </r>
  <r>
    <x v="73"/>
    <x v="1"/>
    <x v="130"/>
    <d v="2022-06-14T00:00:00"/>
    <d v="2022-06-14T00:00:00"/>
    <s v=" Comunicación aclarando los criterios que usamos para el reporte de información. se realiza el cargue de las plantillas por cada empresa con la información de cada mercado por separado."/>
    <m/>
    <s v="096-06-2022- Criterios reporte de información en Apligas para expedientes de comercialización de Gas Natural del Cesar S.A. E.S.P\Carta CREG Apligas Gasnacer.docx"/>
    <m/>
    <x v="3"/>
    <x v="15"/>
    <s v="A Tiempo"/>
    <m/>
  </r>
  <r>
    <x v="73"/>
    <x v="1"/>
    <x v="131"/>
    <d v="2022-06-14T00:00:00"/>
    <d v="2022-06-14T00:00:00"/>
    <s v=" Comunicación aclarando los criterios que usamos para el reporte de información. se realiza el cargue de las plantillas por cada empresa con la información de cada mercado por separado."/>
    <m/>
    <s v="097-06-2022 Criterios reporte de información en Apligas para expedientes de comercialización de Gas Natural Cundiboyacense S.A. E.S.P\Carta CREG Apligas GNCB.docx"/>
    <m/>
    <x v="1"/>
    <x v="15"/>
    <s v="A Tiempo"/>
    <m/>
  </r>
  <r>
    <x v="73"/>
    <x v="0"/>
    <x v="132"/>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098-06-2022 -Respuesta SSPD Radicado 20222302980901 Reportes SUI\098-06-2022 -Respuesta SSPD Radicado 20222302980901 Reportes SUI.pdf"/>
    <m/>
    <x v="0"/>
    <x v="1"/>
    <s v="A Tiempo"/>
    <m/>
  </r>
  <r>
    <x v="73"/>
    <x v="0"/>
    <x v="132"/>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099-06-2022 -Respuesta SSPD Radicado 20222302981321 Reportes SUI GNCB\099-06-2022 -Respuesta SSPD Radicado 20222302981321 Reportes SUI GNCB.pdf"/>
    <m/>
    <x v="1"/>
    <x v="1"/>
    <s v="A Tiempo"/>
    <m/>
  </r>
  <r>
    <x v="73"/>
    <x v="0"/>
    <x v="132"/>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100-06-2022 -Respuesta SSPD Radicado 20222302980891 Reportes SUI GNCR\100-06-2022 -Respuesta SSPD Radicado 20222302980891 Reportes SUI GNCR.pdf"/>
    <m/>
    <x v="3"/>
    <x v="1"/>
    <s v="A Tiempo"/>
    <m/>
  </r>
  <r>
    <x v="73"/>
    <x v="0"/>
    <x v="132"/>
    <d v="2022-06-15T00:00:00"/>
    <d v="2022-06-15T00:00:00"/>
    <s v="Informes relacionados Formatos Financieros - Grupo 1 2020 Individual, Flujo de Efectivo Directo - Grupo 1 2021 _x000a_Consolidado, Flujo de Efectivo Directo, Formato AERG - Formato IGAGR Información General de Auditoria de Gestión y Resultados, Formato Financiero 2020 - Grupo 1 - Taxonomía Informe Financiero Especial - Primer trimestre, Formato Tarifario 2022 febrero - Componentes Tarifarios Aplicados Gas Combustible por Redes"/>
    <m/>
    <s v="101-06-2022 -Respuesta SSPD Radicado 20222302980901 Reportes SUI GOR\101-06-2022 -Respuesta SSPD Radicado 20222302980901 Reportes SUI GOR.pdf"/>
    <m/>
    <x v="2"/>
    <x v="1"/>
    <s v="A Tiempo"/>
    <m/>
  </r>
  <r>
    <x v="73"/>
    <x v="0"/>
    <x v="133"/>
    <d v="2022-06-23T00:00:00"/>
    <d v="2022-06-21T00:00:00"/>
    <s v="Se solicita información en relación con las facturas de suministro y transporte e información tarifaria para el periodo de abril de 2022.Informamos que a la fecha no se han firmado nuevos contratos de suministro y transporte para la atención del servicio de los mercados relevantes atendidos por Vanti S.A. ESP."/>
    <m/>
    <s v="106 -Respuesta SSPD Radicado 20222312934301 Vanti_abr\106 -Respuesta SSPD Radicado 20222312934301 Vanti_abr.pdf"/>
    <m/>
    <x v="0"/>
    <x v="1"/>
    <s v="A Tiempo"/>
    <m/>
  </r>
  <r>
    <x v="74"/>
    <x v="0"/>
    <x v="134"/>
    <d v="2022-05-30T00:00:00"/>
    <d v="2022-05-30T00:00:00"/>
    <s v="De conformidad con lo establecido en el literal C del artículo 5.1.1 de la Resolución CREG 137 de 2013, nos permitimos enviar la información de consumos históricos diarios de los usuarios regulados del mercado relevante conformado por los municipios de Boyacá, Cundinamarca y Santander, atendido por la empresa Gas Natural Cundiboyacense S.A. ESP para la vigencia 2020 y 2021"/>
    <m/>
    <s v="088-Información Resolución CREG 137 de 2013_Vanti S.A. ESP\088-Información Resolución CREG 137 de 2013_Vanti S.A. ESP.pdf"/>
    <m/>
    <x v="1"/>
    <x v="15"/>
    <s v="A Tiempo"/>
    <m/>
  </r>
  <r>
    <x v="74"/>
    <x v="0"/>
    <x v="134"/>
    <d v="2022-05-30T00:00:00"/>
    <d v="2022-05-30T00:00:00"/>
    <s v="De conformidad con lo establecido en el literal C del artículo 5.1.1 de la Resolución CREG 137 de 2013, nos permitimos enviar la información de consumos históricos diarios de los usuarios regulados del mercado relevante conformado por los municipios de Bogotá, Soacha y Sibaté, atendido por la empresa Vanti S.A. ESP para la vigencia 2020 y 2021"/>
    <m/>
    <s v="088-Información Resolución CREG 137 de 2013_Vanti S.A. ESP\088-Información Resolución CREG 137 de 2013_Vanti S.A. ESP.pdf"/>
    <m/>
    <x v="0"/>
    <x v="15"/>
    <s v="A Tiempo"/>
    <m/>
  </r>
  <r>
    <x v="75"/>
    <x v="1"/>
    <x v="135"/>
    <d v="2022-05-31T00:00:00"/>
    <d v="2022-05-31T00:00:00"/>
    <s v="Mediante la presente comunicación, Vanti remite sus comentarios a la resolución en consulta, Resolución CREG 226 de 2021 “Por la cual se reglamentan aspectos comerciales "/>
    <m/>
    <s v="084-05-2022 Comentarios Resolución CREG 226 DE 2021\084-05-2022 Comentarios Vanti a la Resolución CREG 226 de 2021..pdf"/>
    <m/>
    <x v="0"/>
    <x v="15"/>
    <s v="A Tiempo"/>
    <m/>
  </r>
  <r>
    <x v="75"/>
    <x v="1"/>
    <x v="136"/>
    <d v="2022-05-31T00:00:00"/>
    <d v="2022-05-31T00:00:00"/>
    <s v="Mediante la presente, las empresas del grupo Vanti (Vanti S.A. ESP, Gas Natural Cundiboyacense S.A. ESP, _x000a_Gasnacer S.A. ESP y Gasoriente S.A. ESP), en adelante Vanti, remiten sus comentarios sobre la propuesta _x000a_regulatoria contenida en el acto administrativo del asunto"/>
    <m/>
    <s v="085-05-2022 Comentarios Resolución CREG 227 de 2021\085-05-2022 Comentarios Resolución CREG 227 de 2021.pdf"/>
    <m/>
    <x v="0"/>
    <x v="15"/>
    <s v="A Tiempo"/>
    <m/>
  </r>
  <r>
    <x v="75"/>
    <x v="1"/>
    <x v="137"/>
    <d v="2022-05-31T00:00:00"/>
    <d v="2022-05-31T00:00:00"/>
    <s v="omo comentario general, Vanti acompaña los objetivos expuestos; sin embargo, en cuanto al segundo _x000a_objetivo, observamos varios aspectos a considerar"/>
    <m/>
    <s v="086-05- 2022 Comentarios  Vanti a la Resolución CREG 702-002\086-05- 2022 Comentarios  Vanti a la Resolución CREG 702-002..pdf"/>
    <m/>
    <x v="0"/>
    <x v="15"/>
    <s v="A Tiempo"/>
    <m/>
  </r>
  <r>
    <x v="76"/>
    <x v="1"/>
    <x v="138"/>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0-05-2022 Solicitud de notificación personal GOR\080-05-2022 Solicitud de notificación personal GOR.pdf"/>
    <m/>
    <x v="2"/>
    <x v="15"/>
    <s v="A Tiempo"/>
    <m/>
  </r>
  <r>
    <x v="76"/>
    <x v="1"/>
    <x v="138"/>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1-05-2022 Solicitud de notificación personal GNCR\081-05-2022 Solicitud de notificación personal GNCR.pdf"/>
    <m/>
    <x v="3"/>
    <x v="15"/>
    <s v="A Tiempo"/>
    <m/>
  </r>
  <r>
    <x v="76"/>
    <x v="1"/>
    <x v="138"/>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2-05-2022 Solicitud de notificación personal VANTI"/>
    <m/>
    <x v="0"/>
    <x v="15"/>
    <s v="A Tiempo"/>
    <m/>
  </r>
  <r>
    <x v="76"/>
    <x v="1"/>
    <x v="138"/>
    <d v="2022-05-26T00:00:00"/>
    <d v="2022-05-26T00:00:00"/>
    <s v="Mediante la presente, en concordancia con el artículo 56 del Código de Procedimiento _x000a_Administrativo y de lo Contencioso Administrativo, cordialmente se solicita que las notificaciones _x000a_que se hagan a la empresa, en lo sucesivo y a partir de la fecha de recibo de esta comunicación, no _x000a_se realicen por medios electrónicos, sino mediante notificación personal."/>
    <m/>
    <s v="083-05-2022 Solicitud de notificación personal GNCB\083-05-2022 Solicitud de notificación personal GNCB.pdf"/>
    <m/>
    <x v="1"/>
    <x v="15"/>
    <s v="A Tiempo"/>
    <m/>
  </r>
  <r>
    <x v="77"/>
    <x v="0"/>
    <x v="139"/>
    <d v="2022-05-20T00:00:00"/>
    <d v="2022-05-18T00:00:00"/>
    <s v="uperintendencia de Servicios Públicos Domiciliarios solicita revisar la información de Subsidios y Contribuciones reportada en el Sistema Único de Información – SUI – y al Ministerio de Minas y Energía para el Tercer Trimestre del año 2021."/>
    <m/>
    <s v="079-05-2022 Respuesta Requerimiento 20222311808081-  calidad de información SUI de GAS NATURAL DEL ORIENTE SA ESP.- Tercer Trimestre de 2021"/>
    <m/>
    <x v="2"/>
    <x v="1"/>
    <s v="A Tiempo"/>
    <m/>
  </r>
  <r>
    <x v="78"/>
    <x v="1"/>
    <x v="140"/>
    <d v="2022-09-19T00:00:00"/>
    <d v="2022-09-19T00:00:00"/>
    <s v="Resolución CREG 175 del 2021. olicitamos comedidamente a TGI realizar la aclaración a la CREG de las _x000a_cifras presentadas con base en lo expuesto. Agradecemos copiarnos en la comunicación que se envíe a la Comisión con las aclaraciones respectivas."/>
    <m/>
    <s v="X:\CONSECUTIVOS\2022\Regulacion\130\130-09-2022 Solicitud de información TGI.pdf"/>
    <s v="Resolución CREG 175 del 2021"/>
    <x v="1"/>
    <x v="15"/>
    <s v="A Tiempo"/>
    <m/>
  </r>
  <r>
    <x v="79"/>
    <x v="0"/>
    <x v="141"/>
    <d v="2022-05-19T00:00:00"/>
    <d v="2022-05-18T00:00:00"/>
    <s v="se solicita información en relación con las facturas de suministro y transporte e información tarifaria para el periodo de marzo de 2022"/>
    <m/>
    <s v="078 -Respuesta SSPD Radicado 20222312081671 Vanti_mar\078 -Respuesta SSPD Radicado 20222312081671 Vanti_mar.pdf"/>
    <m/>
    <x v="0"/>
    <x v="1"/>
    <s v="A Tiempo"/>
    <m/>
  </r>
  <r>
    <x v="80"/>
    <x v="2"/>
    <x v="14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_x000a_"/>
    <m/>
    <s v="113-07-2022 MME Conciliacion Subsidios y Contribucion II Trim\113-07-2022 REPORTE FONDO DE SOLIDARIDAD GOR SA ESP.docx"/>
    <m/>
    <x v="2"/>
    <x v="3"/>
    <s v="A Tiempo"/>
    <m/>
  </r>
  <r>
    <x v="80"/>
    <x v="2"/>
    <x v="14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
    <m/>
    <s v="114-07-2022 MME Conciliacion Subsidios y Contribuciones II TRIM\114-07-2022 REPORTE FONDO DE SOLIDARIDAD GNCR SA ESP.docx"/>
    <m/>
    <x v="3"/>
    <x v="3"/>
    <s v="A Tiempo"/>
    <m/>
  </r>
  <r>
    <x v="80"/>
    <x v="2"/>
    <x v="14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
    <m/>
    <s v="115-07-2022 MME Conciliacion Subsidios y Contribiciones II TRIM\115-07-22-REPORTE FONDO DE SOLIDARIDAD VANTI SA ESP.docx"/>
    <m/>
    <x v="0"/>
    <x v="3"/>
    <s v="A Tiempo"/>
    <m/>
  </r>
  <r>
    <x v="80"/>
    <x v="2"/>
    <x v="142"/>
    <d v="2022-07-31T00:00:00"/>
    <d v="2022-06-26T00:00:00"/>
    <s v="Dando cumplimiento al artículo 2° del Decreto 201 del 27 de enero de 2004 y a la circular 045 del 9 de julio de 2004, anexo estamos remitiendo la información correspondiente a la conciliación de subsidios y contribuciones facturadas del período abril a junio de 2022._x000a_"/>
    <m/>
    <s v="116-07- 2022 MME Conciliacion Subsidios y Contribuciones II Trim\116-07-2022-REPORTE FONDO DE SOLIDARIDAD GNCB SA ESP.docx"/>
    <m/>
    <x v="1"/>
    <x v="3"/>
    <s v="A Tiempo"/>
    <m/>
  </r>
  <r>
    <x v="81"/>
    <x v="2"/>
    <x v="143"/>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68-04-2022 MME Conciliacion Subsidios y Contribucion I Trim\068-04-2022 REPORTE FONDO DE SOLIDARIDAD GOR SA ESP.docx"/>
    <m/>
    <x v="2"/>
    <x v="1"/>
    <s v="A Tiempo"/>
    <m/>
  </r>
  <r>
    <x v="81"/>
    <x v="2"/>
    <x v="143"/>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69-04-2022 MME Conciliacion Subsidios y Contribuciones I TRIM\069-04-2022 REPORTE FONDO DE SOLIDARIDAD GNCR SA ESP.pdf"/>
    <m/>
    <x v="3"/>
    <x v="1"/>
    <s v="A Tiempo"/>
    <m/>
  </r>
  <r>
    <x v="81"/>
    <x v="2"/>
    <x v="143"/>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70-04-2022 MME Conciliacion Subsidios y Contribiciones I TRIM\070-04-22-REPORTE FONDO DE SOLIDARIDAD VANTI SA ESP.pdf"/>
    <m/>
    <x v="0"/>
    <x v="1"/>
    <s v="A Tiempo"/>
    <m/>
  </r>
  <r>
    <x v="81"/>
    <x v="2"/>
    <x v="143"/>
    <d v="2022-04-29T00:00:00"/>
    <d v="2022-04-29T00:00:00"/>
    <s v="Dando cumplimiento al artículo 2° del Decreto 201 del 27 de enero de 2004 y a la circular 045 del 9 de julio de 2004, anexo estamos remitiendo la información correspondiente a la conciliación de subsidios y contribuciones facturadas del período enero a marzo de 2022"/>
    <m/>
    <s v="071-04-2022 MME Conciliacion Subsidios y Contribuciones I Trim\071-04-2022-REPORTE FONDO DE SOLIDARIDAD GNCB SA ESP.pdf"/>
    <m/>
    <x v="1"/>
    <x v="1"/>
    <s v="A Tiempo"/>
    <m/>
  </r>
  <r>
    <x v="82"/>
    <x v="0"/>
    <x v="144"/>
    <d v="2022-05-02T00:00:00"/>
    <d v="2022-04-29T00:00:00"/>
    <s v="Se solicita información para verificar los cálculos de los componentes de Suministro (G), Transporte (T), Distribución (D) y Comercialización (C) conforme a lo establecido en la Resolución CREG - 137 de 2013 para los mercados relevantes atendidos por la Compañía, e información sobre los compromisos acordados en la reunión del 7 de abril de 2022"/>
    <m/>
    <s v="072-04-2022 SSPD verificación tarifaria ene y feb GOR\072-04-2022-Respuesta SSPD Radicado 20222311760441_GOR.pdf"/>
    <m/>
    <x v="2"/>
    <x v="1"/>
    <s v="A Tiempo"/>
    <m/>
  </r>
  <r>
    <x v="82"/>
    <x v="0"/>
    <x v="145"/>
    <d v="2022-04-29T00:00:00"/>
    <d v="2022-04-29T00:00:00"/>
    <s v="se solicita información base para el cálculo de los indicadores de gestión de acuerdo con lo establecido en la Resolución CREG 072 de 2002, a continuación"/>
    <m/>
    <s v="073 -Respuesta requerimiento 20222311860301 Indicadores CREG 072_ GNCR\073 -Respuesta requerimiento 20222311860301 Indicadores CREG 072 de 2002_GNC.pdf"/>
    <m/>
    <x v="3"/>
    <x v="1"/>
    <s v="A Tiempo"/>
    <m/>
  </r>
  <r>
    <x v="82"/>
    <x v="0"/>
    <x v="145"/>
    <d v="2022-04-29T00:00:00"/>
    <d v="2022-04-29T00:00:00"/>
    <s v="se solicita información base para el cálculo de los indicadores de gestión de acuerdo con lo establecido en la Resolución CREG 072 de 2002, a continuación"/>
    <m/>
    <s v="074 -Respuesta requerimiento 20222311861021 Indicadores CREG 072\074 -Respuesta requerimiento 20222311861021 Indicadores CREG 072 de 2002_Cundi.pdf"/>
    <m/>
    <x v="1"/>
    <x v="1"/>
    <s v="A Tiempo"/>
    <m/>
  </r>
  <r>
    <x v="82"/>
    <x v="0"/>
    <x v="145"/>
    <d v="2022-04-29T00:00:00"/>
    <d v="2022-04-29T00:00:00"/>
    <s v="se solicita información base para el cálculo de los indicadores de gestión de acuerdo con lo establecido en la Resolución CREG 072 de 2002, a continuación"/>
    <m/>
    <s v="X:\CONSECUTIVOS\2022\Regulacion\075- Respuesta requerimiento 20222311861031 Indicadores CREG 072\075- Respuesta requerimiento 20222311861031 Indicadores CREG 072 de 2002_Vanti.pdf"/>
    <m/>
    <x v="0"/>
    <x v="1"/>
    <s v="A Tiempo"/>
    <m/>
  </r>
  <r>
    <x v="82"/>
    <x v="0"/>
    <x v="146"/>
    <d v="2022-04-29T00:00:00"/>
    <d v="2022-04-29T00:00:00"/>
    <s v="e solicita información base para el _x000a_cálculo de los indicadores de gestión de acuerdo con lo establecido en la Resolución CREG 072 de _x000a_2002"/>
    <m/>
    <s v="X:\CONSECUTIVOS\2022\Regulacion\76-04-2022Respuesta Radicado No. 20222311861041 – Solicitud información Indicadores de Gestión Año 2021 -Resolución CREG 072 de 2002\076-Respuesta requerimiento 20222311861041 Indicadores CREG 072 de 2002_GOR.pdf"/>
    <m/>
    <x v="2"/>
    <x v="1"/>
    <s v="A Tiempo"/>
    <m/>
  </r>
  <r>
    <x v="83"/>
    <x v="0"/>
    <x v="147"/>
    <d v="2022-04-26T00:00:00"/>
    <d v="2022-04-26T00:00:00"/>
    <s v="En atención al comunicado enunciado en el asunto, donde se solicita una copia del contrato vigente _x000a_suscrito con la firma de AEGR nos permitimos informar que este se tiene suscrito con la firma KPMG _x000a_DVISORY TAX &amp; LEGAL SAS, se adjunta a esta comunicación el contrato No 4600001349 dando _x000a_cumplimiento a lo establecido en el artículo 51 de la Ley 142 de 1994, modificado por el artículo 6 _x000a_de la Ley 689 de 2001."/>
    <m/>
    <s v="063_04_2022 Respuesta al requerimiento 20222311656891 v1\063_04_2022 Respuesta al requerimiento 20222311656891.pdf"/>
    <m/>
    <x v="3"/>
    <x v="1"/>
    <s v="A Tiempo"/>
    <m/>
  </r>
  <r>
    <x v="83"/>
    <x v="0"/>
    <x v="148"/>
    <d v="2022-04-26T00:00:00"/>
    <d v="2022-04-26T00:00:00"/>
    <s v="En conclusión, la diferencia ilustrada por la SSPD, se debió a 1. La diferencia en el balance: se debió a una corrección que se _x000a_dio en los trámites regulares de conciliación con el MME y 2. La diferencia en la cifra de contribuciones: se dio debido al _x000a_tratamiento diferenciado que tiene el giro de otros comercializadores en el SUI y el MME. Finalmente, la certificación del _x000a_Auditor Externo de Gestión de Resultados se enviará a la SSPD, dando alcance a esta comunicación, una vez se tenga _x000a_disponible. En todo caso, quedamos a su entera disposición para resolver las dudas sobre el asunto que nos ocupa y/o ampliar _x000a_la información que la SSPD considere necesaria."/>
    <m/>
    <s v="064_04_2022 Respuesta al requerimiento 20222311663491 v1 - revisión LJML\064_04_2022 Respuesta al requerimiento 20222311663491 v1 - revisión LJML.pdf"/>
    <m/>
    <x v="0"/>
    <x v="1"/>
    <s v="A Tiempo"/>
    <m/>
  </r>
  <r>
    <x v="84"/>
    <x v="0"/>
    <x v="149"/>
    <d v="2022-04-20T00:00:00"/>
    <d v="2022-04-20T00:00:00"/>
    <s v="En atención al comunicado enunciado en el asunto, donde se solicita una copia del contrato vigente _x000a_suscrito con la firma de AEGR nos permitimos informar que este se tiene suscrito con la firma KPMG _x000a_DVISORY TAX &amp; LEGAL SAS, se adjunta a esta comunicación el contrato No 4600001349 dando _x000a_cumplimiento a lo establecido en el artículo 51 de la Ley 142 de 1994, modificado por el artículo 6 _x000a_de la Ley 689 de 2001."/>
    <m/>
    <s v="062-02-2022 Respuesta Requerimiento 20222301777201 copia contrato AERG\062-02-2022 Respuesta Requerimiento 20222301777201 copia contrato AERG.pdf"/>
    <m/>
    <x v="0"/>
    <x v="1"/>
    <s v="A Tiempo"/>
    <m/>
  </r>
  <r>
    <x v="84"/>
    <x v="0"/>
    <x v="150"/>
    <d v="2022-04-27T00:00:00"/>
    <d v="2022-04-26T00:00:00"/>
    <s v="se solicita una copia del contrato _x000a_vigente suscrito con la firma de AEGR nos permitimos informar que este se tiene suscrito con la _x000a_firma KPMG DVISORY TAX &amp; LEGAL SAS, se adjunta a esta comunicación el contrato No _x000a_4600001350 dando cumplimiento a lo establecido en el artículo 51 de la Ley 142 de 1994, _x000a_modificado por el artículo 6 de la Ley 689 de 2001."/>
    <m/>
    <s v="065-04-2022 Respuesta Requerimiento 20222301777231 copia contrato AERG\065-04-2022 Respuesta Requerimiento 20222301777231 copia contrato AERG.pdf"/>
    <m/>
    <x v="3"/>
    <x v="1"/>
    <s v="A Tiempo"/>
    <m/>
  </r>
  <r>
    <x v="84"/>
    <x v="0"/>
    <x v="150"/>
    <d v="2022-04-27T00:00:00"/>
    <d v="2022-04-26T00:00:00"/>
    <s v="se solicita una copia del contrato _x000a_vigente suscrito con la firma de AEGR nos permitimos informar que este se tiene suscrito con la _x000a_firma KPMG DVISORY TAX &amp; LEGAL SAS, se adjunta a esta comunicación el contrato No _x000a_4600001350 dando cumplimiento a lo establecido en el artículo 51 de la Ley 142 de 1994, _x000a_modificado por el artículo 6 de la Ley 689 de 2001."/>
    <m/>
    <s v="066-04-2022 Respuesta Requerimiento 20222301777241 copia contrato AERG\066-04-2022 Respuesta Requerimiento 20222301777241 copia contrato AERG.pdf"/>
    <m/>
    <x v="2"/>
    <x v="1"/>
    <s v="A Tiempo"/>
    <m/>
  </r>
  <r>
    <x v="84"/>
    <x v="0"/>
    <x v="151"/>
    <d v="2022-04-20T00:00:00"/>
    <d v="2022-04-20T00:00:00"/>
    <s v="Se solicita una copia del contrato vigente suscrito con la firma de AEGR nos permitimos informar que este se tiene suscrito con la firma KPMG DVISORY TAX &amp; LEGAL SAS, se adjunta a esta comunicación el contrato No 4600001352 dando cumplimiento a lo establecido en el artículo 51 de la Ley 142 de 1994, modificado por el artículo 6 de la Ley 689 de 2001."/>
    <m/>
    <s v="067-04-2022 Respuesta Requerimiento 20222301777461 copia contrato AERG\067-04-2022 Respuesta Requerimiento 20222301777461 copia contrato AERG.pdf"/>
    <m/>
    <x v="1"/>
    <x v="1"/>
    <s v="A Tiempo"/>
    <m/>
  </r>
  <r>
    <x v="85"/>
    <x v="0"/>
    <x v="152"/>
    <d v="2022-04-12T00:00:00"/>
    <d v="2022-04-12T00:00:00"/>
    <s v="A la fecha de finalización de la opción tarifaria, el saldo acumulado establecido en la resolución CREG 184 de 2014 para los mercados relevantes mencionados es igual a cero (0)."/>
    <m/>
    <s v="060-2022 CREG SSPD GOR Finalización Opción Tarifaria\060-2022 CREG SSPD GOR Finalización Opción Tarifaria.pdf"/>
    <m/>
    <x v="2"/>
    <x v="1"/>
    <s v="A Tiempo"/>
    <m/>
  </r>
  <r>
    <x v="86"/>
    <x v="0"/>
    <x v="153"/>
    <d v="2022-04-25T00:00:00"/>
    <d v="2022-04-22T00:00:00"/>
    <s v="Formación adicional que consideramos pertinente para sus actividades de validación de información, de igual manera, en la plantilladonde se reportó la información de suministro y transporte fueron incluidas nuevas columnas con información adicional que sirva de apoyo para su análisis."/>
    <m/>
    <s v="061 -04-2022 Respuesta SSPD Radicado 20222311529751_Vanti_feb\061 -Respuesta SSPD Radicado 20222311529751_Vanti_feb.pdf"/>
    <m/>
    <x v="0"/>
    <x v="1"/>
    <s v="A Tiempo"/>
    <m/>
  </r>
  <r>
    <x v="87"/>
    <x v="2"/>
    <x v="154"/>
    <d v="2022-04-05T00:00:00"/>
    <d v="2022-04-05T00:00:00"/>
    <s v="Solicito se informe en el departamento del Cesar, en qué poblaciones del Cesar se tienen proyectos de exploración de GN convencionales y no convencionales, proyectados para los próximos diez años."/>
    <m/>
    <s v="058-04-2022 Derecho de petición de solicitud de información sobre proyectos de exploración de gas natural en el Cesar"/>
    <m/>
    <x v="3"/>
    <x v="1"/>
    <s v="A Tiempo"/>
    <m/>
  </r>
  <r>
    <x v="88"/>
    <x v="0"/>
    <x v="155"/>
    <d v="2022-04-05T00:00:00"/>
    <d v="2022-04-04T00:00:00"/>
    <s v="Adjuntamos a esta comunicación, el archivo “Facturas de cobro.zip”, el cual contiene cuatro _x000a_(4) archivos PDF con copia de 2 facturas emitidas en el mes de diciembre de 2021 para _x000a_clientes de estrato 3 de Bucaramanga, y 2 emitidas en el mes de marzo de 2022 para clientes _x000a_de estrato 3 de Bucaramanga._x000a_Finalmente, informamos que por el tamaño de información a reportar (aproximadamente _x000a_100 MB), se ha dispuesto una carpeta compartida en la siguiente dirección:_x000a_https://drive.google.com/drive/folders/1634fn9T2tJ_jpRRDsQCdWaRVzr_x0002_t1uw7?usp=sharing"/>
    <m/>
    <s v="059-04-2022 GOR SSPD Verificación Tarifaria"/>
    <m/>
    <x v="2"/>
    <x v="1"/>
    <s v="A Tiempo"/>
    <m/>
  </r>
  <r>
    <x v="89"/>
    <x v="1"/>
    <x v="156"/>
    <d v="2022-03-23T00:00:00"/>
    <d v="2022-03-23T00:00:00"/>
    <s v="Las observaciones fueron diligenciadas de acuerdo con cada uno de los ítems mencionados en el archivo “Anexo Gasnacer I-2022-005083”, los cuales aporta para la identificación de los atributos de los activos."/>
    <m/>
    <s v="056-03-2022 Respuesta Comunicado Auto I-2022-005084 Gasoriente\056-03-2022 Respuesta Comunicado Auto I-2022-005084 Gasoriente.docx"/>
    <m/>
    <x v="2"/>
    <x v="1"/>
    <s v="A Tiempo"/>
    <m/>
  </r>
  <r>
    <x v="89"/>
    <x v="1"/>
    <x v="157"/>
    <d v="2022-03-23T00:00:00"/>
    <d v="2022-03-23T00:00:00"/>
    <s v="Las observaciones fueron diligenciadas de acuerdo con cada uno de los ítems mencionados en el archivo “Anexo Gasnacer I-2022-005083”, los cuales aporta para la identificación de los atributos de los activos."/>
    <m/>
    <s v="057-03-2022 Respuesta Comunicado Auto I-2022-005083 GNCER\057-03-2022 Respuesta Comunicado Auto I-2022-005083 GNCER.docx"/>
    <m/>
    <x v="3"/>
    <x v="1"/>
    <s v="A Tiempo"/>
    <m/>
  </r>
  <r>
    <x v="90"/>
    <x v="1"/>
    <x v="158"/>
    <d v="2022-03-18T00:00:00"/>
    <d v="2022-03-18T00:00:00"/>
    <s v="Vanti S.A. E.S.P. cuenta con el derecho a ser tenida como tercero interesado dentro de la actuación _x000a_administrativa, así como con el de conocer la información del expediente, analizarla y presentar las _x000a_observaciones que estime pertinentes de cara a la defensa de sus intereses, como como usuario del Sistema _x000a_Nacional de Transporte y remitente del servicio de transporte y en cumplimiento de sus obligaciones como _x000a_comercializador del servicio de gas natural."/>
    <m/>
    <s v="055-03-2022 Solicitud de tercero interesado- Res 175 de 2021 para TGI_RvMR\055-03-2022 Solicitud de tercero interesado- Res 175 de 2021 para TGI_RvMR.pdf"/>
    <m/>
    <x v="0"/>
    <x v="1"/>
    <s v="A Tiempo"/>
    <m/>
  </r>
  <r>
    <x v="90"/>
    <x v="1"/>
    <x v="158"/>
    <d v="2022-03-18T00:00:00"/>
    <d v="2022-03-18T00:00:00"/>
    <s v="Solicitud de reconocimiento como tercero interesado, con el fin de intervenir _x000a_en la actuación administrativa encaminada a la actualización de los cargos, para que _x000a_incluyan a su vez las actualizaciones de inversión, AOM, PNI, IAC y demandas, cuya _x000a_decisión será la actualización de cargos para remuneración de la actividad de _x000a_transporte de gas natural para la Transportadora de Gas Internacional TGI S.A. _x000a_E.S.P., en aplicación de la metodología indicada en la Resolución CREG 175 de 2021_x000a_(modificada por la Resolución CREG 102 001 de 2022)."/>
    <m/>
    <s v="055-03-2022 Solicitud de tercero interesado- Res 175 de 2021 para TGI_RvMR\055-03-2022 Solicitud de tercero interesado- Res 175 de 2021 para TGI_RvMR.pdf"/>
    <m/>
    <x v="0"/>
    <x v="1"/>
    <s v="A Tiempo"/>
    <m/>
  </r>
  <r>
    <x v="91"/>
    <x v="0"/>
    <x v="159"/>
    <d v="2022-03-15T00:00:00"/>
    <d v="2022-03-15T00:00:00"/>
    <s v="Por tal motivo, solicitamos a la SSPD la inclusión de componentes negativos en el validador y este permita el cargue del reporte y no se genere extemporáneo el formato de componentes tarifarios. Adjuntamos a esta comunicación el archivo en formato CSV correspondiente a la información tarifaria del mes de febrero junto con las publicaciones oficiales en diarios._x000a_"/>
    <m/>
    <s v="052-03-2022 Reporte componentes Tarifarios SUI GOR\052-03-2022 Reporte componentes Tarifarios SUI GOR.docx"/>
    <m/>
    <x v="2"/>
    <x v="15"/>
    <s v="A Tiempo"/>
    <m/>
  </r>
  <r>
    <x v="92"/>
    <x v="0"/>
    <x v="160"/>
    <d v="2022-03-10T00:00:00"/>
    <d v="2022-03-10T00:00:00"/>
    <s v="Formalmente las empresas del grupo Vanti presentan sus comentarios al proyecto de resolución _x000a_“Por la cual unifican los lineamientos para el cargue de información al Sistema Único de _x000a_Información – SUI aplicable a los prestadores del servicio público de gas combustible por redes”"/>
    <m/>
    <s v="050-03-2022 Comentarios Proyecto de Resolución Lineamientos para el cargue de información al SUI\050-03-2022 Comentarios Proyecto de Resolución Lineamientos para el cargue de información al SUI.pdf"/>
    <m/>
    <x v="0"/>
    <x v="1"/>
    <s v="A Tiempo"/>
    <m/>
  </r>
  <r>
    <x v="92"/>
    <x v="0"/>
    <x v="161"/>
    <d v="2022-03-10T00:00:00"/>
    <d v="2022-03-10T00:00:00"/>
    <s v="Informamos que Gran Tierra no se ha manifestado en cuanto a dicha oferta de conexión al _x000a_sistema distribución. "/>
    <m/>
    <s v="051-2022 GNCr SSPD Respuesta caso Grantierra\051-2022 GNCr SSPD Respuesta caso Grantierra.pdf"/>
    <m/>
    <x v="3"/>
    <x v="1"/>
    <s v="A Tiempo"/>
    <m/>
  </r>
  <r>
    <x v="92"/>
    <x v="0"/>
    <x v="162"/>
    <d v="2022-03-10T00:00:00"/>
    <d v="2022-03-07T00:00:00"/>
    <s v="El municipio de San Martín de donde hacen parte tanto los centros poblados en análisis como la industria Gran Tierra, en la actualidad cuenta con un cargo de distribución de 454.36 $/m3 aprobado por la resolución 113 de 2007. Es importante también mencionar que en la actualidad, hay un expediente tarifario que está en estudio por la CREG y que se espera sea aprobada una nueva tarifa durante el presente año. Este expediente tarifario se basa en la resolución CREG 202 del 2013"/>
    <m/>
    <s v="053-03-2022 Verificación tarifaria SSPD_Vanti_ene\053-02-2022 Alcance Respuesta GASNACER al requerimiento 20222310618981 GRANTIERRA en limpio (003).pdf"/>
    <m/>
    <x v="3"/>
    <x v="1"/>
    <s v="A Tiempo"/>
    <m/>
  </r>
  <r>
    <x v="93"/>
    <x v="1"/>
    <x v="163"/>
    <d v="2022-03-02T00:00:00"/>
    <d v="2022-03-02T00:00:00"/>
    <s v="Formalmente las empresas del grupo Vanti comparten al DNP sus comentarios respecto al documento del asunto, cuyo objetivo final consistirá en diseñar, articular e implementar estrategias intersectoriales que fomenten la transición energética impulsando un crecimiento sostenible, eficiente, tecnológico, ambiental y social"/>
    <m/>
    <s v="049-2022 Vanti DNP Comentarios CONPES en elaboración - Transición Energética\049-2022 Vanti DNP Comentarios CONPES en elaboración - Transición Energética.pdf"/>
    <m/>
    <x v="0"/>
    <x v="15"/>
    <s v="A Tiempo"/>
    <m/>
  </r>
  <r>
    <x v="94"/>
    <x v="1"/>
    <x v="164"/>
    <d v="2022-02-23T00:00:00"/>
    <d v="2022-02-23T00:00:00"/>
    <s v="Respetuosamente las empresas del grupo Vanti solicitan a la Comisión un espacio de hora y media para presentar a los Expertos Comisionados que usted defina los análisis realizados a la propuesta de nueva metodología de comercialización regulada de gas natural, contenida en las resoluciones CREG 220 de 2020 y 147 y 235 de 2021. "/>
    <m/>
    <s v="047-02-2022-Vanti CREG Solicitud de reunión Nueva Metodología de Comercialización\047-02-2022-Vanti CREG Solicitud de reunión Nueva Metodología de Comercialización.docx"/>
    <m/>
    <x v="0"/>
    <x v="1"/>
    <s v="A Tiempo"/>
    <m/>
  </r>
  <r>
    <x v="95"/>
    <x v="0"/>
    <x v="165"/>
    <d v="2022-02-22T00:00:00"/>
    <d v="2022-02-22T00:00:00"/>
    <s v="Mercado relevante conformado por los municipios de Aguachica, Agustín Codazzi, _x000a_Becerril, La Jagua de Ibirico, La Gloria, Curumaní, Chiriguaná, Pailitas, San Diego, _x000a_Tamalameque, Pelaya y San Alberto en el departamento de Cesar; El Banco en el _x000a_departamento de Magdalena y el corregimiento de La Pedregosa del municipio de La _x000a_Esperanza en el departamento de Norte de Santander._x000a_• Mercado relevante del municipio de San Martín en el departamento del Cesar."/>
    <m/>
    <s v="042-Plan De Expansión Gasnacer S.A ESP\042-Plan De Expansión Gasnacer S.A ESP.pdf"/>
    <m/>
    <x v="3"/>
    <x v="1"/>
    <s v="A Tiempo"/>
    <m/>
  </r>
  <r>
    <x v="96"/>
    <x v="0"/>
    <x v="166"/>
    <d v="2022-02-21T00:00:00"/>
    <d v="2022-02-21T00:00:00"/>
    <s v="Con respecto al presente requerimiento, una vez evaluado a lo solicitado, no se evidencia la necesidad de documentos y/o información adicional a lo aportado en los numerales anteriores."/>
    <m/>
    <s v="038-02-2022 Respuesta al Requerimiento 20222300291711 Recuperación de saldos acumulados de la Resolución CREG 048 de 2020. GNCR\120222300291861_00002_GNCR.xlsx"/>
    <m/>
    <x v="0"/>
    <x v="1"/>
    <s v="A Tiempo"/>
    <m/>
  </r>
  <r>
    <x v="96"/>
    <x v="0"/>
    <x v="166"/>
    <d v="2022-02-21T00:00:00"/>
    <d v="2022-02-21T00:00:00"/>
    <s v="Con respecto al presente requerimiento, una vez evaluado a lo solicitado, no se evidencia la necesidad de documentos y/o información adicional a lo aportado en los numerales anteriores."/>
    <m/>
    <s v="038-02-2022 Respuesta al Requerimiento 20222300291711 Recuperación de saldos acumulados de la Resolución CREG 048 de 2020. GNCR\120222300291861_00002_GNCR.xlsx"/>
    <m/>
    <x v="2"/>
    <x v="1"/>
    <s v="A Tiempo"/>
    <m/>
  </r>
  <r>
    <x v="96"/>
    <x v="0"/>
    <x v="166"/>
    <d v="2022-02-21T00:00:00"/>
    <d v="2022-02-21T00:00:00"/>
    <s v="Con respecto al presente requerimiento, una vez evaluado a lo solicitado, no se evidencia la necesidad de documentos y/o información adicional a lo aportado en los numerales anteriores."/>
    <m/>
    <s v="038-02-2022 Respuesta al Requerimiento 20222300291711 Recuperación de saldos acumulados de la Resolución CREG 048 de 2020. GNCR\120222300291861_00002_GNCR.xlsx"/>
    <m/>
    <x v="3"/>
    <x v="1"/>
    <s v="A Tiempo"/>
    <m/>
  </r>
  <r>
    <x v="96"/>
    <x v="0"/>
    <x v="166"/>
    <d v="2022-02-21T00:00:00"/>
    <d v="2022-02-21T00:00:00"/>
    <s v="Con respecto al presente requerimiento, una vez evaluado a lo solicitado, no se evidencia la necesidad de documentos y/o información adicional a lo aportado en los numerales anteriores."/>
    <m/>
    <s v="039-02-2022 Respuesta al requerimiento 20222310406261 Segundo evento de suspensión del servicio en el sur de Bolívar\039-02-2022 Respuesta al requerimiento 20222310406261 Segundo evento de suspen.docx"/>
    <m/>
    <x v="2"/>
    <x v="1"/>
    <s v="A Tiempo"/>
    <m/>
  </r>
  <r>
    <x v="96"/>
    <x v="1"/>
    <x v="167"/>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3-02-2022 Respuesta de Vanti al radicado TGI S20220100000952\043-02-2022 Respuesta de Vanti al radicado TGI S20220100000952.pdf"/>
    <m/>
    <x v="0"/>
    <x v="1"/>
    <s v="A Tiempo"/>
    <m/>
  </r>
  <r>
    <x v="96"/>
    <x v="1"/>
    <x v="168"/>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4-02-2022 Respuesta de Gas Natural Cundiboyacense al radicado TGI S20220100000952\044-02-2022 Respuesta de Gas Natural Cundiboyacense al radicado TGI S20220100000952.pdf"/>
    <m/>
    <x v="1"/>
    <x v="1"/>
    <s v="A Tiempo"/>
    <m/>
  </r>
  <r>
    <x v="96"/>
    <x v="1"/>
    <x v="169"/>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5-02-2022 Respuesta de Gas Natural del Oriente al radicado TGI S20220100000952\045-02-2022 Respuesta de Gas Natural del Oriente al radicado TGI S20220100000952.pdf"/>
    <m/>
    <x v="2"/>
    <x v="1"/>
    <s v="A Tiempo"/>
    <m/>
  </r>
  <r>
    <x v="96"/>
    <x v="1"/>
    <x v="170"/>
    <d v="2022-02-22T00:00:00"/>
    <d v="2022-02-22T00:00:00"/>
    <s v="Gas Natural del Cesar identifica que no corresponde el diligenciamiento de dicho formato por cuanto las ERPC fueron incluidas en su solicitud tarifaria de cargos de _x000a_distribución y, por lo tanto, tal como lo indica la Comisión en el Documento CREG 102 001, no es necesaria la firma del distribuidor."/>
    <m/>
    <s v="046-02-2022 Respuesta de Gas Natural del Cesar al radicado TGI S20220100000952\046-02-2022 Respuesta de Gas Natural del Cesar al radicado TGI S20220100000952.pdf"/>
    <m/>
    <x v="1"/>
    <x v="1"/>
    <s v="A Tiempo"/>
    <m/>
  </r>
  <r>
    <x v="97"/>
    <x v="1"/>
    <x v="171"/>
    <d v="2022-02-18T00:00:00"/>
    <d v="2022-02-18T00:00:00"/>
    <s v="consideramos que también debe incluirse en el marco de las auditorías una etapa _x000a_de pilotos para que, con base en los resultados obtenidos, se identifiquen y establezcan _x000a_incentivos para la implementación de estas medidas por parte de las grandes industrias."/>
    <m/>
    <s v="041-22-Vanti MME comentarios Auditorias energéticas\041-22-Vanti MME comentarios Auditorias energéticas.pdf"/>
    <m/>
    <x v="0"/>
    <x v="1"/>
    <s v="A Tiempo"/>
    <m/>
  </r>
  <r>
    <x v="98"/>
    <x v="2"/>
    <x v="172"/>
    <d v="2022-02-12T00:00:00"/>
    <d v="2022-02-12T00:00:00"/>
    <s v="Teniendo en cuenta que con los resultados del PAI-PROURE del año 2022-2030 la UPME _x000a_identifica las medidas que requieren incentivos tributarios para poder ser desarrolladas, y con _x000a_ello alcanzar las metas de eficiencia energética potenciales, las empresas del Grupo Vanti _x000a_formalmente presentan sus observaciones a los documentos publicados y realizan dos _x000a_propuestas constructivas de medidas que aportarían a lograr dichas metas"/>
    <m/>
    <s v="D-702 008-2022 Formato comentarios Anexo_Vanti.xlsm"/>
    <m/>
    <x v="0"/>
    <x v="4"/>
    <s v="A Tiempo"/>
    <m/>
  </r>
  <r>
    <x v="99"/>
    <x v="1"/>
    <x v="173"/>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0-02-2022 Vanti CREG solicitud acceso expediente\030-02-2022 Vanti CREG solicitud acceso expediente.pdf"/>
    <m/>
    <x v="0"/>
    <x v="1"/>
    <s v="A Tiempo"/>
    <m/>
  </r>
  <r>
    <x v="99"/>
    <x v="1"/>
    <x v="173"/>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1-02-2022 GNCB CREG Solicitud Acceso expediente\031-02-2022 GNCB CREG Solicitud Acceso expediente.pdf"/>
    <m/>
    <x v="1"/>
    <x v="1"/>
    <s v="A Tiempo"/>
    <m/>
  </r>
  <r>
    <x v="99"/>
    <x v="1"/>
    <x v="174"/>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2-02-2022 GOR CREG Solicitud Acceso expediente\032-02-2022 GOR CREG Solicitud Acceso expediente.pdf"/>
    <m/>
    <x v="2"/>
    <x v="1"/>
    <s v="A Tiempo"/>
    <m/>
  </r>
  <r>
    <x v="99"/>
    <x v="1"/>
    <x v="174"/>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3-02-2022 GNCR CREG Solicitud Acceso expediente\033-02-2022 GNCR CREG Solicitud Acceso expediente.pdf"/>
    <m/>
    <x v="3"/>
    <x v="1"/>
    <s v="A Tiempo"/>
    <m/>
  </r>
  <r>
    <x v="99"/>
    <x v="1"/>
    <x v="175"/>
    <d v="2022-02-11T00:00:00"/>
    <d v="2022-02-11T00:00:00"/>
    <s v="Giovanni Suárez Garzón, mayor de edad, vecino y residente en esta ciudad, identificado con cédula de ciudadanía No. 79.471.269, en calidad de Representante Legal Tipo B de Vanti S.A. E.S.P., sociedad con NIT No. 800.007.813-5, con domicilio principal en la Ciudad de Bogotá D.C., tal como consta en el certificado de existencia y representación legal que se anexa, respetuosamente concurro ante su despacho con el fin de solicitar el acceso al expediente virtual que se cita en la referencia. "/>
    <m/>
    <s v="034-2022- Vanti GNCB Solicitud acceso expediente virtual 099\034-2022- Vanti GNCB Solicitud acceso expediente virtual 099.pdf"/>
    <m/>
    <x v="0"/>
    <x v="4"/>
    <s v="A Tiempo"/>
    <m/>
  </r>
  <r>
    <x v="100"/>
    <x v="1"/>
    <x v="176"/>
    <d v="2022-02-08T00:00:00"/>
    <d v="2022-02-08T00:00:00"/>
    <s v="Giovanni Fernando Suárez Garzón, identificado con cédula de ciudadanía No. 79.471.269 actuando en _x000a_nombre y representación de Vanti S.A. ESP, identificada con NIT No. 800.007.813-5 (en adelante “Vanti”), por _x000a_medio de la presente me permito solicitar el reconocimiento de la sociedad que represento como tercero _x000a_interesado para intervenir en la actuación administrativa mencionada en el asunto, en razón a que la decisión _x000a_que adopte la CREG en esta actuación, impactará de manera directa a Vanti en su condición de remitente de _x000a_TGI y comercializadora de gas natural, lo que se demuestra con los contratos que la compañía tienen suscritos _x000a_con el transportador."/>
    <m/>
    <s v="029-22-Vanti MME Comentarios PAI-PROURE"/>
    <m/>
    <x v="0"/>
    <x v="4"/>
    <s v="A Tiempo"/>
    <m/>
  </r>
  <r>
    <x v="101"/>
    <x v="0"/>
    <x v="177"/>
    <d v="2022-02-18T00:00:00"/>
    <d v="2022-02-18T00:00:00"/>
    <s v="Finalmente se adicionó la hoja “Notas Empresa” con información adicional que consideramos _x000a_pertinente para sus actividades de validación de información, de igual manera, en la plantilla_x000a_donde se reportó la información de suministro y transporte fueron incluidas nuevas columnas _x000a_con información adicional que sirva de apoyo para su análisis"/>
    <m/>
    <s v="040-02-2022-Vanti SSPD verificación tarifaria Dic21\040 Requerimiento verificación tarifaria 20222310306421 _Vanti.pdf"/>
    <m/>
    <x v="0"/>
    <x v="1"/>
    <s v="A Tiempo"/>
    <m/>
  </r>
  <r>
    <x v="101"/>
    <x v="0"/>
    <x v="178"/>
    <d v="2022-02-18T00:00:00"/>
    <d v="2022-02-18T00:00:00"/>
    <s v="De acuerdo con lo anterior, en los mercados relevantes de El Rosal, La Calera y La Mesa, para el mes de agosto, septiembre y octubre de 2021, no se acumuló una variaciónmayor al 3% en los índices _x000a_de precios de la fórmula tarifaria, por lo tanto, en estos mercados no se actualizó la tarifa"/>
    <m/>
    <s v="048 Alcance a la respuesta del radicado SSPD 20222310306421 _Vanti\048 Alcance a la respuesta del radicado SSPD 20222310306421 _Vanti.pdf"/>
    <m/>
    <x v="0"/>
    <x v="1"/>
    <s v="A Tiempo"/>
    <m/>
  </r>
  <r>
    <x v="102"/>
    <x v="2"/>
    <x v="179"/>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6-01-2022 MME Conciliacion Subsidios y Contribuciones IV TRIM\016-01-2022 REPORTE FONDO DE SOLIDARIDAD GNCR SA ESP.pdf"/>
    <m/>
    <x v="3"/>
    <x v="4"/>
    <s v="A Tiempo"/>
    <m/>
  </r>
  <r>
    <x v="102"/>
    <x v="2"/>
    <x v="179"/>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7-01-2022 MME Conciliacion Subsidios y Contribiciones IV TRIM\017-01-21-REPORTE FONDO DE SOLIDARIDAD VANTI SA ESP.pdf"/>
    <m/>
    <x v="0"/>
    <x v="4"/>
    <s v="A Tiempo"/>
    <m/>
  </r>
  <r>
    <x v="102"/>
    <x v="2"/>
    <x v="179"/>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8-01-2022 MME Conciliacion Subsidios y Contribuciones IV Trim\018-01-2022-REPORTE FONDO DE SOLIDARIDAD GNCB SA ESP.pdf"/>
    <m/>
    <x v="1"/>
    <x v="4"/>
    <s v="A Tiempo"/>
    <m/>
  </r>
  <r>
    <x v="102"/>
    <x v="2"/>
    <x v="179"/>
    <d v="2022-01-31T00:00:00"/>
    <d v="2022-01-31T00:00:00"/>
    <s v="Dando cumplimiento al artículo 2° del Decreto 201 del 27 de enero de 2004 y a la _x000a_circular 045 del 9 de julio de 2004, anexo estamos remitiendo la información _x000a_correspondiente a la conciliación de subsidios y contribuciones facturadas del período _x000a_octubre a diciembre de 2021."/>
    <m/>
    <s v="019-01-2022 MME Conciliacion Subsidios y Contribucion IV Trim\019-01-2022 REPORTE FONDO DE SOLIDARIDAD GOR SA ESP.pdf"/>
    <m/>
    <x v="2"/>
    <x v="4"/>
    <s v="A Tiempo"/>
    <m/>
  </r>
  <r>
    <x v="102"/>
    <x v="1"/>
    <x v="180"/>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1-01-2022 CREG Reporte Activos 2021_Vanti\021-01-2022 CREG Reporte Activos 2021_Vanti.pdf"/>
    <m/>
    <x v="0"/>
    <x v="1"/>
    <s v="A Tiempo"/>
    <m/>
  </r>
  <r>
    <x v="102"/>
    <x v="1"/>
    <x v="180"/>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2-01-2022 CREG Reporte Activos 2021_Gasoriente\022-01-2022 CREG Reporte Activos 2021_Gasoriente.pdf"/>
    <m/>
    <x v="2"/>
    <x v="1"/>
    <s v="A Tiempo"/>
    <m/>
  </r>
  <r>
    <x v="102"/>
    <x v="1"/>
    <x v="180"/>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3-01-2022 CREG Reporte Activos 2021_GNCB\023-01-2022 CREG Reporte Activos 2021_GNCB.pdf"/>
    <m/>
    <x v="1"/>
    <x v="1"/>
    <s v="A Tiempo"/>
    <m/>
  </r>
  <r>
    <x v="102"/>
    <x v="1"/>
    <x v="180"/>
    <d v="2022-01-31T00:00:00"/>
    <d v="2022-01-31T00:00:00"/>
    <s v="En cumplimiento de lo establecido en el numeral 13.3 de la Resolución CREG _x000a_202 de 2013, nos permitimos remitir la información de los activos puestos en _x000a_operación en el sistema de distribución durante el año 2021 para la empresa _x000a_Gas Natural del Cesar S.A. ES"/>
    <m/>
    <s v="024-01-2022 CREG Reporte Activos 2021_Gasnacer\024-01-2022 CREG Reporte Activos 2021_Gasnacer.pdf"/>
    <m/>
    <x v="3"/>
    <x v="1"/>
    <s v="A Tiempo"/>
    <m/>
  </r>
  <r>
    <x v="103"/>
    <x v="0"/>
    <x v="181"/>
    <d v="2022-02-03T00:00:00"/>
    <d v="2022-02-04T00:00:00"/>
    <s v="Dando alcance a la comunicación enviada a la SSPD el 28 de enero de 2022 por _x000a_parte de VANTI SA ESP en relación con accidentes en instalaciones internas, a _x000a_continuación, nos permitimos remitir detalle de los eventos por intoxicación"/>
    <m/>
    <s v="026-02-2022 Respuesta Rad 20222310155391 Solicitud de información de accidentes en instalaciones internas"/>
    <m/>
    <x v="0"/>
    <x v="1"/>
    <s v="Retrasado"/>
    <m/>
  </r>
  <r>
    <x v="104"/>
    <x v="0"/>
    <x v="182"/>
    <d v="2022-01-28T00:00:00"/>
    <d v="2022-01-27T00:00:00"/>
    <s v="Para el detalle de los eventos por intoxicación, solicitamos un plazo adicional de cinco (5) _x000a_días hábiles, con el fin de asegurar la calidad de la información suministrada. Informamos que, de los eventos relacionados en el ítem anterior, ninguno desencadenó en _x000a_muerte. "/>
    <m/>
    <s v="020-01-2022 Respuesta Rad 20222310155391 Solicitud de información de accidentes en instalaciones internas"/>
    <m/>
    <x v="0"/>
    <x v="1"/>
    <s v="A Tiempo"/>
    <m/>
  </r>
  <r>
    <x v="104"/>
    <x v="0"/>
    <x v="183"/>
    <d v="2022-01-28T00:00:00"/>
    <d v="2022-01-27T00:00:00"/>
    <s v="Dando alcance a la comunicación enviada a la SSPD el 28 de enero de 2022 por _x000a_parte de VANTI SA ESP en relación con accidentes en instalaciones internas, a _x000a_continuación, nos permitimos remitir detalle de los eventos por intoxicación"/>
    <m/>
    <s v="028-2022 Vanti CREG Solicitud de tercero interesado- 099-2021\028-2022 Vanti CREG Solicitud de tercero interesado- 099-2021.pdf"/>
    <m/>
    <x v="0"/>
    <x v="1"/>
    <s v="A Tiempo"/>
    <m/>
  </r>
  <r>
    <x v="105"/>
    <x v="20"/>
    <x v="184"/>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08-01-2022-Vanti TGI ERPC Res 202-13 y 175-21"/>
    <m/>
    <x v="0"/>
    <x v="1"/>
    <s v="A Tiempo"/>
    <m/>
  </r>
  <r>
    <x v="105"/>
    <x v="20"/>
    <x v="184"/>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09-01-2022-Gasoriente TGI ERPC Res 202-13 y 175-21 (002)"/>
    <m/>
    <x v="2"/>
    <x v="1"/>
    <s v="A Tiempo"/>
    <m/>
  </r>
  <r>
    <x v="105"/>
    <x v="20"/>
    <x v="184"/>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10-01-2022-Cundi TGI ERPC Res 202-13 y 175-21 (002)\010-2022-Cundi TGI ERPC Res 202-13 y 175-21 (002).pdf"/>
    <m/>
    <x v="1"/>
    <x v="1"/>
    <s v="A Tiempo"/>
    <m/>
  </r>
  <r>
    <x v="105"/>
    <x v="20"/>
    <x v="184"/>
    <d v="2022-01-14T00:00:00"/>
    <d v="2022-01-14T00:00:00"/>
    <s v="en las solicitudes de aprobación de cargos de distribución del año 2020, y de acuerdo con las condiciones establecidas en la Resolución 202 de 2013 (Art. 13.2), presentó formalmente a la CREG los proyectos de reposición a nuevo de las siguientes Estaciones Reguladoras en Puerta de Ciudad (ERPC), las cuales sustituirían a aquellas City Gate del transportador que cumplen su vida útil dentro del periodo establecido por la CREG"/>
    <m/>
    <s v="011-11-2022-Gasnacer TGI ERPC Res 202-13 y 175-21"/>
    <m/>
    <x v="3"/>
    <x v="1"/>
    <s v="A Tiempo"/>
    <m/>
  </r>
  <r>
    <x v="105"/>
    <x v="2"/>
    <x v="185"/>
    <d v="2022-01-14T00:00:00"/>
    <d v="2022-01-14T00:00:00"/>
    <s v="Comentarios al Plan de Acción de 2022, presentados para consulta de la ciudadanía al Ministerio de Minas y Energía, en particular sobre_x000a_aquellos indicadores que responsabilidad de la Dirección de Hidrocarburos. "/>
    <m/>
    <s v="013-2022-Vanti MME Comentarios PAA 2022\013-2022-Vanti MME Comentarios PAA 2022 .pdf"/>
    <m/>
    <x v="1"/>
    <x v="4"/>
    <s v="A Tiempo"/>
    <m/>
  </r>
  <r>
    <x v="106"/>
    <x v="1"/>
    <x v="186"/>
    <d v="2022-01-13T00:00:00"/>
    <d v="2022-01-13T00:00:00"/>
    <s v="Dado que el periodo para la asignación de las OEF inicia el 1 de diciembre de 2023, es decir en _x000a_23 meses, formalmente solicitamos a la Comisión una mayor flexibilidad para la presentación de _x000a_contratos de combustible o garantías al ASIC, y que el plazo de la actividad 7 del cronograma _x000a_tenga vencimiento al menos el 30 de octubre del 2022 para el periodo 2023-2024, y del 30 de _x000a_octubre de 2023 para el periodo 2024-2025, esto es, 13 meses antes de que inicie la obligación."/>
    <m/>
    <s v="002-01-2022-Vanti-CREG-Comentarios Resolución CREG 223 de 2021\002-01-2022-Vanti-CREG-Comentarios Resolución CREG 223 de 2021.pdf"/>
    <m/>
    <x v="0"/>
    <x v="4"/>
    <s v="A Tiempo"/>
    <m/>
  </r>
  <r>
    <x v="106"/>
    <x v="0"/>
    <x v="187"/>
    <d v="2022-01-13T00:00:00"/>
    <d v="2022-01-13T00:00:00"/>
    <s v="Vanti S.A. ESP se permite dar alcance a la respuesta del comunicado del asunto enviado el 17 de diciembre de _x000a_2021 con número radicado 20215294024772, en el cual se solicita la reversión voluntaria del reporte de los _x000a_Estados financieros para la vigencia 2020._x000a_Lo anterior, en virtud que se realizó un ajuste en el formato [900019] FC02 - Complementario ingresos, en el que _x000a_se excluyó los ingresos reportados como Otros en la actividad de transporte y se asociaron al concepto Otros de _x000a_la actividad de comercialización de gas combustible por redes"/>
    <m/>
    <s v="004 -01-2022 Alcance_Solicitud modificación de información SUI - Estados Financieros 2020_Vanti\004-01-2022  Alcance_Solicitud modificación de información SUI - Estados Financieros 2020_Vanti.pdf"/>
    <m/>
    <x v="0"/>
    <x v="1"/>
    <s v="A Tiempo"/>
    <m/>
  </r>
  <r>
    <x v="106"/>
    <x v="0"/>
    <x v="187"/>
    <d v="2022-01-13T00:00:00"/>
    <d v="2022-01-13T00:00:00"/>
    <s v="Gas Natural del oriente S.A. ESP se permite dar alcance a la respuesta del comunicado del asunto enviado el _x000a_17 de diciembre de 2021 con número radicado 20215294023362, en el cual se solicita la reversión voluntaria _x000a_del reporte de los Estados financieros para la vigencia 2020._x000a_Lo anterior, en virtud que se realizó un ajuste en el formato [900019] FC02 - Complementario ingresos, en el _x000a_que se excluyó los ingresos reportados como Otros en la actividad de transporte y se asociaron al concepto _x000a_Otros de la actividad de comercialización de gas combustible por redes."/>
    <m/>
    <s v="005-01-2022 Alcance_Solicitud modificación de información SUI - Estados Financieros 2020_Gasoriente"/>
    <m/>
    <x v="3"/>
    <x v="1"/>
    <s v="A Tiempo"/>
    <m/>
  </r>
  <r>
    <x v="106"/>
    <x v="0"/>
    <x v="188"/>
    <d v="2022-01-13T00:00:00"/>
    <d v="2022-01-13T00:00:00"/>
    <s v="Gas Natural Cundiboyacense S.A. ESP se permite dar alcance a la respuesta del comunicado del asunto enviado _x000a_el 17 de diciembre de 2021 con número radicado 20215294024382, en el cual se solicita la reversión voluntaria _x000a_del reporte de los Estados financieros para la vigencia 2020._x000a_Lo anterior, en virtud que se realizó un ajuste en el formato [900019] FC02 - Complementario ingresos, en el _x000a_que se excluyó los ingresos reportados como Otros en la actividad de transporte y se asociaron al concepto _x000a_Otros de la actividad de comercialización de gas combustible por redes."/>
    <m/>
    <s v="006-01-2022 Alcance_Solicitud modificación de información SUI - Estados Financieros 2020_Cundi\006-01-2022 Alcance_Solicitud modificación de información SUI - Estados Financieros 2020_Cundi.pdf"/>
    <m/>
    <x v="1"/>
    <x v="1"/>
    <s v="A Tiempo"/>
    <m/>
  </r>
  <r>
    <x v="106"/>
    <x v="0"/>
    <x v="189"/>
    <d v="2022-01-13T00:00:00"/>
    <d v="2022-01-13T00:00:00"/>
    <s v="Gas Natural del Cesar S.A. ESP se permite dar alcance a la respuesta del comunicado del asunto enviado el 17 _x000a_de diciembre de 2021 con número radicado 20215294024382, en el cual se solicita la reversión voluntaria del _x000a_reporte de los Estados financieros para la vigencia 2020._x000a_Lo anterior, para informar que la totalidad de los ingresos asociados a la actividad de distribución y _x000a_comercialización reportados en el formato [900019] FC02 - Complementario ingresos se han reportado en el _x000a_concepto Otros en la actividad de Comercialización."/>
    <m/>
    <s v="007-01-2022 Alcance_Solicitud modificación de información SUI - Estados Financieros 2020_Gasnacer"/>
    <m/>
    <x v="1"/>
    <x v="1"/>
    <s v="A Tiempo"/>
    <m/>
  </r>
  <r>
    <x v="107"/>
    <x v="1"/>
    <x v="190"/>
    <d v="2022-01-12T00:00:00"/>
    <d v="2022-01-12T00:00:00"/>
    <s v="El día 28 de abril de 2021 enviamos la comunicación del asunto, mediante la cual consultamos sobre la inclusión de recursos públicos provenientes del Fondo Especial Cuota de Fomento, o de otras fuentes de recursos públicos y la aplicación del cargo de distribución para las veredas mencionadas en la comunicación del Municipio al que pertenecen y la integración en el próximo período tarifario al mercado existente."/>
    <m/>
    <s v="012-01-22-GNC CREG Solicitud respuesta concepto recursos públicos Gas Nacer\012-01-22-GNC CREG Solicitud respuesta concepto recursos públicos Gas Nacer.pdf"/>
    <m/>
    <x v="3"/>
    <x v="4"/>
    <s v="A Tiempo"/>
    <m/>
  </r>
  <r>
    <x v="108"/>
    <x v="1"/>
    <x v="191"/>
    <d v="2022-01-03T00:00:00"/>
    <d v="2022-01-03T00:00:00"/>
    <s v="La productividad ha representado a la fecha una reducción en el cargo a trasladar a precios constantes del 23% respecto a los cargos aprobados, se solicita a la Comisión que en la metodología definitiva, próxima a expedirse, se incluya un artículo en el que se especifique que desde la fecha de entrada en vigencia de la resolución no se siga acumulando la aplicación del factor de productividad de la Resolución CREG 011 de 2003._x000a__x000a_ "/>
    <m/>
    <s v="001-2022-Vanti-CREG-Comentarios Resolución CREG 235 de 2021\001-2022-Vanti-CREG-Comentarios Resolución CREG 235 de 2021.pdf"/>
    <m/>
    <x v="0"/>
    <x v="4"/>
    <s v="A Tiempo"/>
    <m/>
  </r>
  <r>
    <x v="108"/>
    <x v="0"/>
    <x v="192"/>
    <d v="2022-01-18T00:00:00"/>
    <d v="2022-01-18T00:00:00"/>
    <s v=" se solicita información en relación _x000a_con las facturas de suministro y transporte e información tarifaria para el periodo de noviembre_x000a_de 2021"/>
    <m/>
    <s v="014-2022-Vanti SSPD Verificación Tarifaria Nov\014-01-2021Respuesta SSPD Radicado 20212316391501_Vanti.pdf"/>
    <m/>
    <x v="0"/>
    <x v="1"/>
    <s v="A Tiempo"/>
    <m/>
  </r>
  <r>
    <x v="109"/>
    <x v="0"/>
    <x v="193"/>
    <d v="2022-01-05T00:00:00"/>
    <d v="2022-01-04T00:00:00"/>
    <s v="En atención al evento de suspensión del servicio de gas natural domiciliario en el municipio de Puerto Wilches, _x000a_comunicado por parte de Gasoriente S.A. ESP a la SSPD el día 1 de diciembre de 2021"/>
    <m/>
    <s v="003-01-2022 Respuesta al radicado No. 20212316317961  Puerto Wilches\003-01-2022 Respuesta al radicado No. 20212316317961  Puerto Wilches.pdf"/>
    <m/>
    <x v="2"/>
    <x v="1"/>
    <s v="A Tiempo"/>
    <m/>
  </r>
  <r>
    <x v="110"/>
    <x v="11"/>
    <x v="194"/>
    <d v="1906-08-24T00:00:00"/>
    <d v="1906-08-24T00:00:00"/>
    <s v="En este gasoducto se proyecta una caída importante de la demanda a partir de 2026, pasando de aprox. 55 MPCD a 17 MPCD. Si bien se pueden estar dando señales de la construcción de otro tramo que conectaría a Jobo con Medellín, este aún no se ha concretado y no hay certeza de su ejecución, ni en qué punto del SNT se conectaría. Por lo tanto, la proyección de demanda en este gasoducto debería mantenerse e inclusive incrementar de acuerdo con las proyecciones de la UPME para la región del Noroeste del país."/>
    <s v="Comentaios\Comentarios_demandasTransmetano.xlsx"/>
    <m/>
    <m/>
    <x v="0"/>
    <x v="4"/>
    <s v="A Tiempo"/>
    <m/>
  </r>
  <r>
    <x v="21"/>
    <x v="0"/>
    <x v="195"/>
    <m/>
    <m/>
    <m/>
    <m/>
    <s v="X:\CONSECUTIVOS\2022\Regulacion\131\131-09-2022 Propuestas para el Plan Nacional de Desarrollo 2022-2026.pdf"/>
    <m/>
    <x v="0"/>
    <x v="15"/>
    <s v="pendient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097DFE-065A-4D52-BCB2-26C2A0603165}" name="TablaDinámica2" cacheId="4242"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location ref="A4:B25" firstHeaderRow="1" firstDataRow="1" firstDataCol="1" rowPageCount="1" colPageCount="1"/>
  <pivotFields count="13">
    <pivotField axis="axisPage" multipleItemSelectionAllowed="1" showAll="0">
      <items count="112">
        <item h="1" x="110"/>
        <item h="1"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27"/>
        <item x="47"/>
        <item x="46"/>
        <item x="45"/>
        <item x="44"/>
        <item x="43"/>
        <item x="42"/>
        <item x="3"/>
        <item x="41"/>
        <item x="40"/>
        <item x="39"/>
        <item x="38"/>
        <item x="37"/>
        <item x="36"/>
        <item x="35"/>
        <item x="34"/>
        <item x="16"/>
        <item x="33"/>
        <item x="32"/>
        <item x="31"/>
        <item x="30"/>
        <item x="29"/>
        <item x="28"/>
        <item x="20"/>
        <item x="25"/>
        <item x="24"/>
        <item x="22"/>
        <item x="23"/>
        <item x="17"/>
        <item x="19"/>
        <item x="18"/>
        <item x="14"/>
        <item x="15"/>
        <item x="13"/>
        <item x="12"/>
        <item x="11"/>
        <item x="10"/>
        <item x="8"/>
        <item x="9"/>
        <item x="7"/>
        <item x="6"/>
        <item x="5"/>
        <item x="4"/>
        <item x="2"/>
        <item x="1"/>
        <item x="0"/>
        <item x="21"/>
        <item x="26"/>
        <item t="default"/>
      </items>
    </pivotField>
    <pivotField axis="axisRow" multipleItemSelectionAllowed="1" showAll="0">
      <items count="22">
        <item h="1" x="18"/>
        <item h="1" x="19"/>
        <item h="1" x="4"/>
        <item h="1" x="3"/>
        <item h="1" x="13"/>
        <item h="1" x="7"/>
        <item h="1" x="12"/>
        <item sd="0" x="1"/>
        <item x="14"/>
        <item h="1" x="5"/>
        <item x="2"/>
        <item h="1" x="6"/>
        <item h="1" x="9"/>
        <item h="1" x="10"/>
        <item h="1" x="16"/>
        <item h="1" x="15"/>
        <item sd="0" x="0"/>
        <item x="17"/>
        <item h="1" x="8"/>
        <item h="1" x="20"/>
        <item h="1" x="11"/>
        <item t="default"/>
      </items>
    </pivotField>
    <pivotField axis="axisRow" dataField="1" showAll="0">
      <items count="197">
        <item x="124"/>
        <item x="185"/>
        <item x="4"/>
        <item x="127"/>
        <item x="11"/>
        <item x="79"/>
        <item x="77"/>
        <item x="78"/>
        <item x="80"/>
        <item x="82"/>
        <item x="120"/>
        <item x="156"/>
        <item x="42"/>
        <item x="157"/>
        <item x="123"/>
        <item x="162"/>
        <item x="188"/>
        <item x="189"/>
        <item x="187"/>
        <item x="178"/>
        <item x="181"/>
        <item x="85"/>
        <item x="47"/>
        <item x="46"/>
        <item x="48"/>
        <item x="45"/>
        <item x="88"/>
        <item x="90"/>
        <item x="89"/>
        <item x="87"/>
        <item x="31"/>
        <item x="186"/>
        <item x="191"/>
        <item x="163"/>
        <item x="51"/>
        <item x="99"/>
        <item x="125"/>
        <item x="109"/>
        <item x="194"/>
        <item x="126"/>
        <item x="160"/>
        <item x="172"/>
        <item x="136"/>
        <item x="110"/>
        <item x="113"/>
        <item x="119"/>
        <item x="135"/>
        <item x="137"/>
        <item x="35"/>
        <item x="131"/>
        <item x="130"/>
        <item x="129"/>
        <item x="128"/>
        <item x="112"/>
        <item x="91"/>
        <item x="111"/>
        <item x="59"/>
        <item x="44"/>
        <item x="52"/>
        <item x="154"/>
        <item x="36"/>
        <item x="143"/>
        <item x="142"/>
        <item x="179"/>
        <item x="25"/>
        <item x="95"/>
        <item x="134"/>
        <item x="8"/>
        <item x="7"/>
        <item x="40"/>
        <item x="14"/>
        <item x="18"/>
        <item x="17"/>
        <item x="152"/>
        <item x="173"/>
        <item x="174"/>
        <item x="175"/>
        <item x="165"/>
        <item x="38"/>
        <item x="39"/>
        <item x="171"/>
        <item x="195"/>
        <item x="3"/>
        <item x="67"/>
        <item x="71"/>
        <item x="30"/>
        <item x="61"/>
        <item x="159"/>
        <item x="180"/>
        <item x="121"/>
        <item x="16"/>
        <item x="28"/>
        <item x="43"/>
        <item x="97"/>
        <item x="98"/>
        <item x="33"/>
        <item x="96"/>
        <item x="64"/>
        <item x="63"/>
        <item x="60"/>
        <item x="68"/>
        <item x="22"/>
        <item x="21"/>
        <item x="23"/>
        <item x="37"/>
        <item x="24"/>
        <item x="106"/>
        <item x="105"/>
        <item x="161"/>
        <item x="193"/>
        <item x="147"/>
        <item x="148"/>
        <item x="93"/>
        <item x="34"/>
        <item x="168"/>
        <item x="170"/>
        <item x="169"/>
        <item x="167"/>
        <item x="104"/>
        <item x="192"/>
        <item x="149"/>
        <item x="150"/>
        <item x="151"/>
        <item x="132"/>
        <item x="102"/>
        <item x="108"/>
        <item x="182"/>
        <item x="183"/>
        <item x="177"/>
        <item x="155"/>
        <item x="153"/>
        <item x="144"/>
        <item x="145"/>
        <item x="146"/>
        <item x="141"/>
        <item x="133"/>
        <item x="117"/>
        <item x="118"/>
        <item x="116"/>
        <item x="114"/>
        <item x="115"/>
        <item x="107"/>
        <item x="101"/>
        <item x="103"/>
        <item x="100"/>
        <item x="92"/>
        <item x="58"/>
        <item x="166"/>
        <item x="139"/>
        <item x="74"/>
        <item x="76"/>
        <item x="72"/>
        <item x="75"/>
        <item x="73"/>
        <item x="50"/>
        <item x="49"/>
        <item x="0"/>
        <item x="6"/>
        <item x="15"/>
        <item x="9"/>
        <item x="1"/>
        <item x="2"/>
        <item x="5"/>
        <item x="10"/>
        <item x="12"/>
        <item x="19"/>
        <item x="13"/>
        <item x="70"/>
        <item x="69"/>
        <item x="65"/>
        <item x="27"/>
        <item x="56"/>
        <item x="54"/>
        <item x="55"/>
        <item x="62"/>
        <item x="122"/>
        <item x="32"/>
        <item x="138"/>
        <item x="41"/>
        <item x="158"/>
        <item x="184"/>
        <item x="57"/>
        <item x="94"/>
        <item x="84"/>
        <item x="83"/>
        <item x="26"/>
        <item x="176"/>
        <item x="190"/>
        <item x="164"/>
        <item x="29"/>
        <item x="66"/>
        <item x="86"/>
        <item x="53"/>
        <item x="20"/>
        <item x="81"/>
        <item x="140"/>
        <item t="default"/>
      </items>
    </pivotField>
    <pivotField showAll="0"/>
    <pivotField showAll="0"/>
    <pivotField showAll="0"/>
    <pivotField showAll="0"/>
    <pivotField showAll="0"/>
    <pivotField showAll="0"/>
    <pivotField axis="axisRow" showAll="0">
      <items count="6">
        <item sd="0" m="1" x="4"/>
        <item x="1"/>
        <item x="3"/>
        <item sd="0" x="0"/>
        <item sd="0" x="2"/>
        <item t="default"/>
      </items>
    </pivotField>
    <pivotField axis="axisRow" showAll="0">
      <items count="17">
        <item h="1" x="5"/>
        <item h="1" x="10"/>
        <item h="1" x="4"/>
        <item h="1" x="15"/>
        <item h="1" x="6"/>
        <item x="0"/>
        <item h="1" x="9"/>
        <item h="1" x="13"/>
        <item h="1" x="3"/>
        <item x="1"/>
        <item h="1" x="7"/>
        <item h="1" x="12"/>
        <item h="1" x="8"/>
        <item x="2"/>
        <item h="1" x="11"/>
        <item h="1" x="14"/>
        <item t="default"/>
      </items>
    </pivotField>
    <pivotField showAll="0"/>
    <pivotField showAll="0"/>
  </pivotFields>
  <rowFields count="4">
    <field x="9"/>
    <field x="10"/>
    <field x="1"/>
    <field x="2"/>
  </rowFields>
  <rowItems count="21">
    <i>
      <x v="1"/>
    </i>
    <i r="1">
      <x v="5"/>
    </i>
    <i r="2">
      <x v="7"/>
    </i>
    <i r="1">
      <x v="9"/>
    </i>
    <i r="2">
      <x v="7"/>
    </i>
    <i r="2">
      <x v="10"/>
    </i>
    <i r="3">
      <x v="61"/>
    </i>
    <i r="2">
      <x v="16"/>
    </i>
    <i r="1">
      <x v="13"/>
    </i>
    <i r="2">
      <x v="10"/>
    </i>
    <i r="3">
      <x v="69"/>
    </i>
    <i>
      <x v="2"/>
    </i>
    <i r="1">
      <x v="9"/>
    </i>
    <i r="2">
      <x v="7"/>
    </i>
    <i r="2">
      <x v="10"/>
    </i>
    <i r="3">
      <x v="59"/>
    </i>
    <i r="3">
      <x v="61"/>
    </i>
    <i r="2">
      <x v="16"/>
    </i>
    <i>
      <x v="3"/>
    </i>
    <i>
      <x v="4"/>
    </i>
    <i t="grand">
      <x/>
    </i>
  </rowItems>
  <colItems count="1">
    <i/>
  </colItems>
  <pageFields count="1">
    <pageField fld="0" hier="-1"/>
  </pageFields>
  <dataFields count="1">
    <dataField name="Cuenta de Asunto"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6C2DDB-BB3C-4926-89F8-1CD8EAD9D4AE}" name="TablaDinámica3" cacheId="4241"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chartFormat="3">
  <location ref="A3:F48" firstHeaderRow="1" firstDataRow="2" firstDataCol="1" rowPageCount="1" colPageCount="1"/>
  <pivotFields count="12">
    <pivotField axis="axisPage" showAll="0">
      <items count="112">
        <item x="22"/>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m="1" x="109"/>
        <item x="41"/>
        <item x="40"/>
        <item x="39"/>
        <item x="38"/>
        <item x="37"/>
        <item x="36"/>
        <item x="35"/>
        <item x="34"/>
        <item x="33"/>
        <item x="32"/>
        <item x="31"/>
        <item x="30"/>
        <item x="29"/>
        <item x="28"/>
        <item x="27"/>
        <item x="26"/>
        <item m="1" x="108"/>
        <item x="25"/>
        <item x="24"/>
        <item x="21"/>
        <item x="20"/>
        <item x="18"/>
        <item m="1" x="110"/>
        <item x="17"/>
        <item x="0"/>
        <item x="1"/>
        <item x="2"/>
        <item x="3"/>
        <item x="4"/>
        <item x="5"/>
        <item x="6"/>
        <item x="7"/>
        <item x="8"/>
        <item x="9"/>
        <item x="10"/>
        <item x="11"/>
        <item x="12"/>
        <item x="13"/>
        <item x="14"/>
        <item x="15"/>
        <item x="16"/>
        <item x="19"/>
        <item x="23"/>
        <item t="default"/>
      </items>
    </pivotField>
    <pivotField axis="axisRow" showAll="0">
      <items count="22">
        <item x="1"/>
        <item x="2"/>
        <item x="0"/>
        <item x="17"/>
        <item x="11"/>
        <item x="19"/>
        <item x="13"/>
        <item x="14"/>
        <item x="15"/>
        <item x="16"/>
        <item x="10"/>
        <item x="12"/>
        <item x="18"/>
        <item x="20"/>
        <item x="3"/>
        <item x="4"/>
        <item x="5"/>
        <item x="6"/>
        <item x="7"/>
        <item x="8"/>
        <item x="9"/>
        <item t="default"/>
      </items>
    </pivotField>
    <pivotField showAll="0"/>
    <pivotField showAll="0"/>
    <pivotField showAll="0"/>
    <pivotField showAll="0"/>
    <pivotField showAll="0"/>
    <pivotField showAll="0"/>
    <pivotField showAll="0"/>
    <pivotField showAll="0"/>
    <pivotField axis="axisRow" dataField="1" showAll="0">
      <items count="17">
        <item n="COMENTARIOS A RES" x="15"/>
        <item x="8"/>
        <item x="0"/>
        <item h="1" x="14"/>
        <item n="COMENTARIOS A RES2" h="1" x="10"/>
        <item h="1" x="13"/>
        <item h="1" x="11"/>
        <item h="1" x="5"/>
        <item h="1" x="6"/>
        <item h="1" x="9"/>
        <item h="1" x="12"/>
        <item h="1" x="1"/>
        <item h="1" x="2"/>
        <item h="1" x="3"/>
        <item h="1" x="4"/>
        <item h="1" x="7"/>
        <item t="default"/>
      </items>
    </pivotField>
    <pivotField axis="axisCol" showAll="0">
      <items count="6">
        <item x="1"/>
        <item x="2"/>
        <item x="3"/>
        <item x="4"/>
        <item x="0"/>
        <item t="default"/>
      </items>
    </pivotField>
  </pivotFields>
  <rowFields count="2">
    <field x="1"/>
    <field x="10"/>
  </rowFields>
  <rowItems count="44">
    <i>
      <x/>
    </i>
    <i r="1">
      <x/>
    </i>
    <i r="1">
      <x v="1"/>
    </i>
    <i r="1">
      <x v="2"/>
    </i>
    <i>
      <x v="1"/>
    </i>
    <i r="1">
      <x/>
    </i>
    <i r="1">
      <x v="1"/>
    </i>
    <i r="1">
      <x v="2"/>
    </i>
    <i>
      <x v="2"/>
    </i>
    <i r="1">
      <x/>
    </i>
    <i r="1">
      <x v="1"/>
    </i>
    <i r="1">
      <x v="2"/>
    </i>
    <i>
      <x v="3"/>
    </i>
    <i r="1">
      <x/>
    </i>
    <i>
      <x v="4"/>
    </i>
    <i r="1">
      <x v="2"/>
    </i>
    <i>
      <x v="6"/>
    </i>
    <i r="1">
      <x v="2"/>
    </i>
    <i>
      <x v="7"/>
    </i>
    <i r="1">
      <x v="1"/>
    </i>
    <i>
      <x v="8"/>
    </i>
    <i r="1">
      <x v="2"/>
    </i>
    <i>
      <x v="9"/>
    </i>
    <i r="1">
      <x v="1"/>
    </i>
    <i r="1">
      <x v="2"/>
    </i>
    <i>
      <x v="12"/>
    </i>
    <i r="1">
      <x v="2"/>
    </i>
    <i>
      <x v="13"/>
    </i>
    <i r="1">
      <x v="2"/>
    </i>
    <i>
      <x v="14"/>
    </i>
    <i r="1">
      <x v="2"/>
    </i>
    <i>
      <x v="15"/>
    </i>
    <i r="1">
      <x v="2"/>
    </i>
    <i>
      <x v="16"/>
    </i>
    <i r="1">
      <x v="2"/>
    </i>
    <i>
      <x v="17"/>
    </i>
    <i r="1">
      <x v="2"/>
    </i>
    <i>
      <x v="18"/>
    </i>
    <i r="1">
      <x v="2"/>
    </i>
    <i>
      <x v="19"/>
    </i>
    <i r="1">
      <x v="2"/>
    </i>
    <i>
      <x v="20"/>
    </i>
    <i r="1">
      <x v="2"/>
    </i>
    <i t="grand">
      <x/>
    </i>
  </rowItems>
  <colFields count="1">
    <field x="11"/>
  </colFields>
  <colItems count="5">
    <i>
      <x/>
    </i>
    <i>
      <x v="1"/>
    </i>
    <i>
      <x v="2"/>
    </i>
    <i>
      <x v="4"/>
    </i>
    <i t="grand">
      <x/>
    </i>
  </colItems>
  <pageFields count="1">
    <pageField fld="0" hier="-1"/>
  </pageFields>
  <dataFields count="1">
    <dataField name="ENTIDADES" fld="10" subtotal="count" baseField="0" baseItem="0"/>
  </dataFields>
  <chartFormats count="10">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11" count="1" selected="0">
            <x v="4"/>
          </reference>
        </references>
      </pivotArea>
    </chartFormat>
    <chartFormat chart="2" format="10"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480233-8F06-41A1-87A2-CD0C87D7832B}" name="Tabla2" displayName="Tabla2" ref="A1:R516" headerRowDxfId="38" dataDxfId="37" totalsRowDxfId="36">
  <autoFilter ref="A1:R516" xr:uid="{57480233-8F06-41A1-87A2-CD0C87D7832B}"/>
  <sortState xmlns:xlrd2="http://schemas.microsoft.com/office/spreadsheetml/2017/richdata2" ref="A2:R516">
    <sortCondition descending="1" ref="A46:A516"/>
  </sortState>
  <tableColumns count="18">
    <tableColumn id="1" xr3:uid="{B606C841-A5F1-45A3-986F-78DC398D8C8E}" name="Fecha de Recibido" totalsRowLabel="Total" dataDxfId="34" totalsRowDxfId="35"/>
    <tableColumn id="2" xr3:uid="{68AACB60-DEB4-40A7-BD98-D0DF9EFE2A76}" name="Entidad " dataDxfId="32" totalsRowDxfId="33"/>
    <tableColumn id="3" xr3:uid="{F361AACB-5D1C-41D8-9A0C-B2C4E3AF77B5}" name="Asunto" dataDxfId="30" totalsRowDxfId="31"/>
    <tableColumn id="4" xr3:uid="{B59B2888-46DB-44EA-AF21-F6D81BFA5ABC}" name="Fecha MAX de Resp" dataDxfId="28" totalsRowDxfId="29"/>
    <tableColumn id="5" xr3:uid="{9DC08AFC-3659-4F45-B278-F544BF658B7B}" name="Fecha de Resp" dataDxfId="26" totalsRowDxfId="27"/>
    <tableColumn id="6" xr3:uid="{8B479745-25F5-496F-97D2-404959D8E659}" name="Resumen " dataDxfId="24" totalsRowDxfId="25"/>
    <tableColumn id="7" xr3:uid="{BF57CE9F-1BC3-4843-B0FC-CC1AFBD92BCA}" name="Hipervinculo " dataDxfId="22" totalsRowDxfId="23"/>
    <tableColumn id="8" xr3:uid="{ABA6B000-142F-4A21-92E4-9D2C943A8908}" name="Hipervinculo Respuesta " dataDxfId="20" totalsRowDxfId="21"/>
    <tableColumn id="9" xr3:uid="{58624063-6627-4E5D-A1FC-5F7739FEF55D}" name="ADJUNTOS" dataDxfId="18" totalsRowDxfId="19"/>
    <tableColumn id="10" xr3:uid="{1CEEADAF-6931-4838-AC4E-2E5164ADA01D}" name="FILIAL" dataDxfId="16" totalsRowDxfId="17"/>
    <tableColumn id="11" xr3:uid="{8A4200CB-6209-411B-91C3-C8937C13D79D}" name="Tipologia " dataDxfId="14" totalsRowDxfId="15"/>
    <tableColumn id="12" xr3:uid="{08594A21-4FE8-47EE-9E97-F7F26DF7B292}" name="ESTADO" dataDxfId="12" totalsRowDxfId="13">
      <calculatedColumnFormula>IF(Tabla2[[#This Row],[Fecha de Resp]]&gt;Tabla2[[#This Row],[Fecha MAX de Resp]],"Retrasado",IF(Tabla2[[#This Row],[Fecha de Resp]]=0,"Pendiente",IF(Tabla2[[#This Row],[Fecha de Resp]]&lt;=Tabla2[[#This Row],[Fecha MAX de Resp]],"A Tiempo",0)))</calculatedColumnFormula>
    </tableColumn>
    <tableColumn id="15" xr3:uid="{C4FBDF52-2D84-404B-9022-9B0949CEFA59}" name="Fecha de Radicado" dataDxfId="10" totalsRowDxfId="11"/>
    <tableColumn id="13" xr3:uid="{9611B11C-D24B-4A7D-ACEE-026BAB6432D9}" name="No. Radicado " dataDxfId="8" totalsRowDxfId="9"/>
    <tableColumn id="14" xr3:uid="{B795CABF-BB1D-4896-B18C-CF4E1C26D110}" name="Fecha MAX de Resp_1" dataDxfId="6" totalsRowDxfId="7">
      <calculatedColumnFormula>EXACT(Tabla2[[#This Row],[Fecha de Recibido]],Tabla2[[#This Row],[Fecha MAX de Resp]])</calculatedColumnFormula>
    </tableColumn>
    <tableColumn id="16" xr3:uid="{1B4F3C2A-0C99-4348-B26F-8421D322F2F1}" name="Fecha de Respuesta" dataDxfId="4" totalsRowDxfId="5">
      <calculatedColumnFormula>EXACT(Tabla2[[#This Row],[Fecha de Recibido]],Tabla2[[#This Row],[Fecha de Resp]])</calculatedColumnFormula>
    </tableColumn>
    <tableColumn id="18" xr3:uid="{CBEAFACE-67FB-4B18-AE92-AC751FB8D646}" name="Fecha" dataDxfId="2" totalsRowDxfId="3">
      <calculatedColumnFormula>DATE(YEAR(Tabla2[[#This Row],[Fecha de Recibido]]),MONTH(Tabla2[[#This Row],[Fecha de Recibido]]),1)</calculatedColumnFormula>
    </tableColumn>
    <tableColumn id="17" xr3:uid="{2AE5744F-B975-47B8-9E7E-93CE69D2D7C4}" name="Norma Genera Cambio en el proceso?" totalsRowFunction="count" dataDxfId="0" totalsRowDxfId="1"/>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255" dT="2023-07-11T13:15:05.62" personId="{3B541734-34E6-4F15-985B-BC021BBC7374}" id="{39E1D8B4-8811-4E99-A2AC-BDF1874C813C}">
    <text>Correo enviado desde servicios juridicos</text>
  </threadedComment>
  <threadedComment ref="E261" dT="2023-07-10T16:46:59.59" personId="{3B541734-34E6-4F15-985B-BC021BBC7374}" id="{7306BB06-D5D8-481A-AF6C-EE78B30F3765}">
    <text>Se envia 2do mensaje de seguimiento a 1 dia de vencer, 10/07/2023</text>
  </threadedComment>
  <threadedComment ref="D262" dT="2023-07-14T16:05:37.00" personId="{3B541734-34E6-4F15-985B-BC021BBC7374}" id="{FDDDF054-15E8-4ADC-BC4C-46CECD3C8488}">
    <text>Profesional de regulacion envia correo adjuntando comprobante de pago de concursos economicos, PTE relacionar</text>
  </threadedComment>
  <threadedComment ref="E262" dT="2023-07-14T16:05:37.00" personId="{3B541734-34E6-4F15-985B-BC021BBC7374}" id="{DD47EF5D-3240-4E43-888A-F90C9557E327}">
    <text>Profesional de regulacion envia correo adjuntando comprobante de pago de concursos economicos, PTE relacionar</text>
  </threadedComment>
  <threadedComment ref="H262" dT="2023-06-29T15:46:39.80" personId="{3B541734-34E6-4F15-985B-BC021BBC7374}" id="{2E452D30-860F-4E27-952F-381B2B625631}">
    <text>"Confirmamos el recibo de la comunicación y procedemos con la gestión para compartir el soporte de pago de la primera cuota del concurso económico de estratificación de Tunja"
reportesregulacion@grupovanti.com 28/06/</text>
  </threadedComment>
  <threadedComment ref="D270" dT="2023-06-27T13:10:56.46" personId="{3B541734-34E6-4F15-985B-BC021BBC7374}" id="{A0AB018D-993D-401C-AE51-C8479213C142}">
    <text>Gestionado desde el correo de JULI, ya se notifico a GIO y partes interesadas. (No RTA No Recepcion de nada, Solicitud de acceso a expediente)</text>
  </threadedComment>
  <threadedComment ref="E270" dT="2023-06-27T13:10:56.46" personId="{3B541734-34E6-4F15-985B-BC021BBC7374}" id="{9202181A-61DD-4F9B-82D6-FCF174481F22}">
    <text>Gestionado desde el correo de JULI, ya se notifico a GIO y partes interesadas. (No RTA No Recepcion de nada, Solicitud de acceso a expediente)</text>
  </threadedComment>
  <threadedComment ref="D272" dT="2023-06-21T14:24:26.30" personId="{3B541734-34E6-4F15-985B-BC021BBC7374}" id="{29715583-CFC4-44E3-9512-4B67F5517605}">
    <text>Se gestiona desde servicios juridicos</text>
  </threadedComment>
  <threadedComment ref="E272" dT="2023-06-21T14:24:26.30" personId="{3B541734-34E6-4F15-985B-BC021BBC7374}" id="{5FD7F04C-A65E-4FA6-81E2-61C0CD4082E8}">
    <text>Se gestiona desde servicios juridicos</text>
  </threadedComment>
  <threadedComment ref="F276" dT="2023-06-13T15:49:06.50" personId="{3B541734-34E6-4F15-985B-BC021BBC7374}" id="{CC19B807-D246-488D-AA98-9DDCE94FFB20}">
    <text>Sin correos de respeusta.</text>
  </threadedComment>
  <threadedComment ref="D277" dT="2023-06-05T18:33:15.38" personId="{3B541734-34E6-4F15-985B-BC021BBC7374}" id="{088BC2AF-A6A8-4A4A-8821-E255C0B7821F}">
    <text>Todo lo relacionado con protección al usuario son temas de PQRS, remitirlo a Ma Pilar Rubio, Melquicedec y servicio al cliente</text>
  </threadedComment>
  <threadedComment ref="D277" dT="2023-06-08T17:21:49.81" personId="{3B541734-34E6-4F15-985B-BC021BBC7374}" id="{CF1C5760-EF9C-448B-A4CC-EB8F1893C5DE}" parentId="{088BC2AF-A6A8-4A4A-8821-E255C0B7821F}">
    <text>Revisar el redireccionamiento</text>
  </threadedComment>
  <threadedComment ref="E277" dT="2023-06-05T18:33:15.38" personId="{3B541734-34E6-4F15-985B-BC021BBC7374}" id="{0DFB8544-393D-46C0-ADC1-35C8753781E9}">
    <text>Todo lo relacionado con protección al usuario son temas de PQRS, remitirlo a Ma Pilar Rubio, Melquicedec y servicio al cliente</text>
  </threadedComment>
  <threadedComment ref="E277" dT="2023-06-08T17:21:49.81" personId="{3B541734-34E6-4F15-985B-BC021BBC7374}" id="{74D997F5-9178-4B41-B805-9AA315D290E3}" parentId="{0DFB8544-393D-46C0-ADC1-35C8753781E9}">
    <text>Revisar el redireccionamiento</text>
  </threadedComment>
  <threadedComment ref="E281" dT="2023-06-06T13:46:52.67" personId="{3B541734-34E6-4F15-985B-BC021BBC7374}" id="{D852F0CE-E528-4E64-BDD6-EEAC8F4723D5}">
    <text>Esta rta habilita carpeta compartida para cargar la informacion requerida. Pendiente pedir contexto</text>
  </threadedComment>
  <threadedComment ref="E281" dT="2023-06-08T17:19:57.63" personId="{3B541734-34E6-4F15-985B-BC021BBC7374}" id="{D43BA684-FB34-4F7B-B9E3-2869F7DBA619}" parentId="{D852F0CE-E528-4E64-BDD6-EEAC8F4723D5}">
    <text>Se modifica la fecha de seguimiento y se debe revisar el proceso que debe seguir para registrar la respuesta a la solicitud hecha</text>
  </threadedComment>
  <threadedComment ref="D283" dT="2023-06-06T13:40:00.63" personId="{3B541734-34E6-4F15-985B-BC021BBC7374}" id="{BD4D0D13-3576-48D2-94AF-6BC293EF0A4A}">
    <text>Tiene diligencia, y apoyo desde el Area para proyectar la respuesta, pendiente revision RTA</text>
  </threadedComment>
  <threadedComment ref="D284" dT="2023-05-29T14:25:01.64" personId="{3B541734-34E6-4F15-985B-BC021BBC7374}" id="{7F424282-7A83-4B6F-BC44-5881810C6A0C}">
    <text>Se envia a Maria del Pilar y Francisco correa, "Faturación"</text>
  </threadedComment>
  <threadedComment ref="D285" dT="2023-05-23T14:09:47.01" personId="{3B541734-34E6-4F15-985B-BC021BBC7374}" id="{61B5EE81-D302-4679-9834-D75D924802D0}">
    <text>Se extiende el tiempo de respuesta mediante  solicitud de ampliacion de plazo</text>
  </threadedComment>
  <threadedComment ref="D286" dT="2023-05-23T14:09:52.60" personId="{3B541734-34E6-4F15-985B-BC021BBC7374}" id="{BEBF4ACC-7C62-4AD6-A7C7-5F6086B32D5E}">
    <text>Se extiende el tiempo de respuesta mediante  solicitud de ampliacion de plazo</text>
  </threadedComment>
  <threadedComment ref="G301" dT="2023-06-20T14:57:42.75" personId="{3B541734-34E6-4F15-985B-BC021BBC7374}" id="{9B7C00AD-EC12-4418-8F44-C9FA823D9FC6}">
    <text>Pte localizar Radicado Finalizado en 4221</text>
  </threadedComment>
  <threadedComment ref="G351" dT="2023-06-20T15:01:55.79" personId="{3B541734-34E6-4F15-985B-BC021BBC7374}" id="{789F43FD-39E3-4D35-92FA-9A82EF8FAF12}">
    <text>Pte Localizar Radicado Finalizado en  8893</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r/sites/GerenciadeRegulacin/Shared%20Documents/General/2023/Regulaci%C3%B3n%202024/183_10_2024%20Reporte%20de%20informaci%C3%B3n%20Investigaciones%20por%20Desviaciones%20Significativas%20y%20Usuarios%20con%20Consumos%20Estacionales?csf=1&amp;web=1&amp;e=JzSvw1" TargetMode="External"/><Relationship Id="rId1" Type="http://schemas.openxmlformats.org/officeDocument/2006/relationships/hyperlink" Target="Regulaci&#243;n%202024/160_08_2024%20Activaci&#243;n%20usuarios%20SI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hyperlink" Target="../../../../../:b:/r/sites/GerenciadeRegulacin/Shared%20Documents/General/2023/Regulaci%C3%B3n/93_06_2023_Vanti_Creg_Informacion%20Resolucion%20CREG%20137%20de%202013/93_06_2023_Vanti_Creg_Informacion%20Resolucion%20CREG%20137%20de%202013.pdf?csf=1&amp;web=1&amp;e=R1o5g7" TargetMode="External"/><Relationship Id="rId299" Type="http://schemas.openxmlformats.org/officeDocument/2006/relationships/hyperlink" Target="../../../../../:b:/r/sites/GerenciadeRegulacin/Shared%20Documents/General/2023/Regulaci%C3%B3n/CREG%20905%20005/Documento_CREG_905_005_2023.pdf?csf=1&amp;web=1&amp;e=lI8A6x" TargetMode="External"/><Relationship Id="rId21" Type="http://schemas.openxmlformats.org/officeDocument/2006/relationships/hyperlink" Target="../../../../../:f:/r/sites/GerenciadeRegulacin/Shared%20Documents/General/2023/Regulaci%C3%B3n/45_04_2023_Respuesta%20DP%20VANTI%20%209715042-0%20Derecho%20de%20Petici%C3%B3n%20CREG%20E2023002217%20(V_28%20marzo)?csf=1&amp;web=1&amp;e=gbGqCK" TargetMode="External"/><Relationship Id="rId63" Type="http://schemas.openxmlformats.org/officeDocument/2006/relationships/hyperlink" Target="../../../../../:b:/r/sites/GerenciadeRegulacin/Shared%20Documents/General/2023/Regulaci%C3%B3n/50_04_2023_GOR_10184520%20-179%20%202023%20Solicitud%20de%20Reversi%C3%B3n%20GOR_GRCS8/50_05_2023_RTA%20SSPD_%2020232031634231.pdf?csf=1&amp;web=1&amp;e=oLftEZ" TargetMode="External"/><Relationship Id="rId159" Type="http://schemas.openxmlformats.org/officeDocument/2006/relationships/hyperlink" Target="../../../../../:b:/r/sites/GerenciadeRegulacin/Shared%20Documents/General/2023/Regulaci%C3%B3n/111_06_2023_Tunja%20Concurso%20economico_Estratificacion/111_06_2023_Tunja%20Concurso%20economico_Estratificacion.pdf?csf=1&amp;web=1&amp;e=EdTgAg" TargetMode="External"/><Relationship Id="rId324"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GAS%20NATURAL%20DEL%20ORIENTE.eml?csf=1&amp;web=1&amp;e=dymdaL" TargetMode="External"/><Relationship Id="rId366" Type="http://schemas.openxmlformats.org/officeDocument/2006/relationships/hyperlink" Target="Regulaci&#243;n%202024/17_01_2024_Informaci&#243;n%20Incendios%20Forestales%20GNCB/Respuesta%20al%20requerimiento%20SSPD%2020242310301591%20Informaci&#243;n%20incendios%20forestales%20GNCB%20(1).pdf" TargetMode="External"/><Relationship Id="rId170" Type="http://schemas.openxmlformats.org/officeDocument/2006/relationships/hyperlink" Target="../../../../../:b:/r/sites/GerenciadeRegulacin/Shared%20Documents/General/2023/Regulaci%C3%B3n/119_07_2023_SSPD%20VANTI_20235002084641%20Autorizaci%C3%B3n%20para%20notificaci%C3%B3n%20electr%C3%B3nica%20de%20la%20contribuci%C3%B3n%20(1)/119_07_2023_SSPD%20VANTI_20235002084641%20Autorizaci%C3%B3n%20para%20notificaci%C3%B3n%20electr%C3%B3nica%20de%20la%20contribuci%C3%B3n%20(1).pdf?csf=1&amp;web=1&amp;e=tJWxY0" TargetMode="External"/><Relationship Id="rId226" Type="http://schemas.openxmlformats.org/officeDocument/2006/relationships/hyperlink" Target="../../../../../:b:/r/sites/GerenciadeRegulacin/Shared%20Documents/General/2023/Regulaci%C3%B3n/145_08_2023_%20Respuesta%20Radicado%20No.%2020232312961041.%20Ingresos%20por%20concepto%20de%20reconexi%C3%B3n/145-Respuesta%20SSPD%20Radicado%2020232312961041.pdf?csf=1&amp;web=1&amp;e=08TIqK" TargetMode="External"/><Relationship Id="rId268" Type="http://schemas.openxmlformats.org/officeDocument/2006/relationships/hyperlink" Target="../../../../../:b:/r/sites/GerenciadeRegulacin/Shared%20Documents/General/2023/Regulaci%C3%B3n/165_09_2023_CREG_PROYECTO%20DE%20RESOLUCION%20No.701%20021/Proyecto_Resoluci%C3%B3n_CREG_701_021_2023.pdf?csf=1&amp;web=1&amp;e=bc8j7Q" TargetMode="External"/><Relationship Id="rId32" Type="http://schemas.openxmlformats.org/officeDocument/2006/relationships/hyperlink" Target="029-22-Vanti%20MME%20Comentarios%20PAI-PROURE" TargetMode="External"/><Relationship Id="rId74" Type="http://schemas.openxmlformats.org/officeDocument/2006/relationships/hyperlink" Target="../../../../../:b:/r/sites/GerenciadeRegulacin/Shared%20Documents/General/2023/Regulaci%C3%B3n/66_05_2023_BANCOLOMBIA_GAS%20NATURAL%20S.A.%20%20E.S.P/65_05_2023_BANCOLOMBIA_GAS%20NATURAL%20S.A.%20%20E.S.P.pdf?csf=1&amp;web=1&amp;e=DM5p1u" TargetMode="External"/><Relationship Id="rId128" Type="http://schemas.openxmlformats.org/officeDocument/2006/relationships/hyperlink" Target="../../../../../:b:/r/sites/GerenciadeRegulacin/Shared%20Documents/General/2023/Regulaci%C3%B3n/96_06_2023_SSPD_Requerimiento_20232311718731/96_06_2023_VANTI%20SSPD_RTA_10153620-1444-2023%20Respuesta%20Radicado%20No%2020232311718731%20SSDP%20ERPC%20Tuta.pdf?csf=1&amp;web=1&amp;e=WO0gsv" TargetMode="External"/><Relationship Id="rId335" Type="http://schemas.openxmlformats.org/officeDocument/2006/relationships/hyperlink" Target="Regulaci&#243;n%202024/29_02_2024_Requerimiento%20Calidad%20de%20la%20Informaci&#243;n%20-%20Taxonom&#237;a%20XBRL%202022%20GNCB/Respuesta%20Radicado%20No.%2020242300418781%20Requerimiento%20Calidad%20de%20la%20Informaci&#243;n%20-%20Taxonom&#237;a%20XBRL%202022..pdf" TargetMode="External"/><Relationship Id="rId377" Type="http://schemas.openxmlformats.org/officeDocument/2006/relationships/hyperlink" Target="Regulaci&#243;n%202024/79_05_2024_Anexo%2018%20de%20la%20Resoluci&#243;n%20Creg%20050%20todas%20las%20filiales/Circular050-2021%20Anexo_Vanti%20SV.xlsx" TargetMode="External"/><Relationship Id="rId5" Type="http://schemas.openxmlformats.org/officeDocument/2006/relationships/hyperlink" Target="../../../../../:b:/r/sites/GerenciadeRegulacin/Shared%20Documents/General/2023/Regulaci%C3%B3n/SSPD%20MARZO/GOR/Recuperaci%C3%B3n%20de%20saldos%20acumulados%20de%20la%20Resoluci%C3%B3n%20CREG%20048%20_%20GOR.pdf?csf=1&amp;web=1&amp;e=rYu6ht" TargetMode="External"/><Relationship Id="rId181" Type="http://schemas.openxmlformats.org/officeDocument/2006/relationships/hyperlink" Target="../../../../../:f:/r/sites/GerenciadeRegulacin/Shared%20Documents/General/2023/Regulaci%C3%B3n/133_08_2023_CREG_Reporte%20Costos%20Telemetria_E2023014207?csf=1&amp;web=1&amp;e=qs5EHP" TargetMode="External"/><Relationship Id="rId237" Type="http://schemas.openxmlformats.org/officeDocument/2006/relationships/hyperlink" Target="../../../../../:b:/r/sites/GerenciadeRegulacin/Shared%20Documents/General/2023/Regulaci%C3%B3n/134_08_2023_SSPD_HONORABLES_SENADORES/GNCB/Respuesta%2010830107%20-%200%20Contestaci%C3%B3n%20Radicado%20a%20citar%2020232312595711%20GNCB%20SSPD%20(V3).pdf?csf=1&amp;web=1&amp;e=ZxWr96" TargetMode="External"/><Relationship Id="rId402" Type="http://schemas.openxmlformats.org/officeDocument/2006/relationships/hyperlink" Target="../../../../../:f:/r/sites/GerenciadeRegulacin/Shared%20Documents/General/2023/Regulaci%C3%B3n%202024/152_07_2024%20Verificaci%C3%B3n%20tarifaria%20Jun24%20Vanti_%20env%C3%ADo%20agosto%202024?csf=1&amp;web=1&amp;e=adwSl7" TargetMode="External"/><Relationship Id="rId279"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VANTI.eml?csf=1&amp;web=1&amp;e=7fUUtc" TargetMode="External"/><Relationship Id="rId43" Type="http://schemas.openxmlformats.org/officeDocument/2006/relationships/hyperlink" Target="../../../../../:b:/r/sites/GerenciadeRegulacin/Shared%20Documents/General/2023/Regulaci%C3%B3n/55_04_2023_VANTI_9896762%20-%2001523CR0004838/55_04_2023_VANTI_9896762%20-%2001523CR0004838.pdf?csf=1&amp;web=1&amp;e=mFYAKp" TargetMode="External"/><Relationship Id="rId139" Type="http://schemas.openxmlformats.org/officeDocument/2006/relationships/hyperlink" Target="../../../../../:b:/r/sites/GerenciadeRegulacin/Shared%20Documents/General/2023/Regulaci%C3%B3n/35_04_23_MME_Traslado%20radicado%20n%C3%BAmero%201-2023-012532%20del%20Ministerio%20de%20Minas%20y%20Energ%C3%ADa/35_04_23_Anexo%20CREG_1202332050085862_00003.pdf?csf=1&amp;web=1&amp;e=FYEbUs" TargetMode="External"/><Relationship Id="rId290" Type="http://schemas.openxmlformats.org/officeDocument/2006/relationships/hyperlink" Target="../../../../../:b:/r/sites/GerenciadeRegulacin/Shared%20Documents/General/2023/Regulaci%C3%B3n/188_11_2023_Solicitud%20ampliaci%C3%B3n%20plazo%20Auto%20de%20Pruebas%20170%20del%208%20de%20noviembre%20de%202023/Comunicaci%C3%B3n%20Vanti-Solicitud%20de%20ampliaci%C3%B3n%20plazo%20auto%20pruebas-16nov2023.pdf?csf=1&amp;web=1&amp;e=Oa1Zte" TargetMode="External"/><Relationship Id="rId304" Type="http://schemas.openxmlformats.org/officeDocument/2006/relationships/hyperlink" Target="../../../../../:b:/r/sites/GerenciadeRegulacin/Shared%20Documents/General/2023/Regulaci%C3%B3n/188_11_2023_Solicitud%20ampliaci%C3%B3n%20plazo%20Auto%20de%20Pruebas%20170%20del%208%20de%20noviembre%20de%202023/Comunicaci%C3%B3n%20Vanti-Solicitud%20de%20ampliaci%C3%B3n%20plazo%20auto%20pruebas-16nov2023.pdf?csf=1&amp;web=1&amp;e=Oa1Zte" TargetMode="External"/><Relationship Id="rId346" Type="http://schemas.openxmlformats.org/officeDocument/2006/relationships/hyperlink" Target="Regulaci&#243;n%202024/34_02_2024_Respuesta%20al%20radicado%202024230380800015%20-%20Revisi&#243;n%20calidad%20de%20la%20informaci&#243;n%20cargada%20en%20el%20a&#241;o%202023/Respuesta%20SSPD%2020242300540931%20Revisi&#243;n%20calidad%20de%20la%20informaci&#243;n%20cargada%20a%20SUI%20GOR.pdf" TargetMode="External"/><Relationship Id="rId388" Type="http://schemas.openxmlformats.org/officeDocument/2006/relationships/hyperlink" Target="../../../../../:f:/r/sites/GerenciadeRegulacin/Shared%20Documents/General/2023/Regulaci%C3%B3n%202024/138_07_2024%20Solicitud%20de%20informacion%20sobre%20el%20plan%20de%20expansion%20para%20la%20vereda?csf=1&amp;web=1&amp;e=NjNNSs" TargetMode="External"/><Relationship Id="rId85" Type="http://schemas.openxmlformats.org/officeDocument/2006/relationships/hyperlink" Target="../../../../../:b:/r/sites/GerenciadeRegulacin/Shared%20Documents/General/2023/Regulaci%C3%B3n/68_05_2023_SSPD%20VANTI_20232311639401/68_05_2023_SSPD%20VANTI_20232311639401.pdf?csf=1&amp;web=1&amp;e=xfIT8b" TargetMode="External"/><Relationship Id="rId150" Type="http://schemas.openxmlformats.org/officeDocument/2006/relationships/hyperlink" Target="../../../../../:b:/r/sites/GerenciadeRegulacin/Shared%20Documents/General/2023/Regulaci%C3%B3n/105_06_2023_VANTI_Comentarios%20Circular%20046_20%20Jun%202023/105_06_2023_Anexo_certificado_Cronograma_de_comercializacion_de_gas_natural_Ano_2023___Circular_046_de_2023_1687365624627.pdf?csf=1&amp;web=1&amp;e=LllEMl" TargetMode="External"/><Relationship Id="rId192" Type="http://schemas.openxmlformats.org/officeDocument/2006/relationships/hyperlink" Target="../../../../../:b:/r/sites/GerenciadeRegulacin/Shared%20Documents/General/2023/Regulaci%C3%B3n/134_08_2023_SSPD_HONORABLES_SENADORES/GNCB/Respuesta%2010830107%20-%200%20Contestaci%C3%B3n%20Radicado%20a%20citar%2020232312595711%20GNCB%20SSPD%20(V3).pdf?csf=1&amp;web=1&amp;e=ZxWr96" TargetMode="External"/><Relationship Id="rId206" Type="http://schemas.openxmlformats.org/officeDocument/2006/relationships/hyperlink" Target="../../../../../:b:/r/sites/GerenciadeRegulacin/Shared%20Documents/General/2023/Regulaci%C3%B3n/27_03_2023_VANTI-Respuesta%20Requerimiento%20de%20informaci%C3%B3n%20sobre%20la%20Revisi%C3%B3n%20Peri%C3%B3dica%20Obligatoria/027-%20Respuesta%20requerimiento%20Informaci%C3%B3n%20RPO%202022_Vanti.pdf?csf=1&amp;web=1&amp;e=jC5wNH" TargetMode="External"/><Relationship Id="rId413" Type="http://schemas.openxmlformats.org/officeDocument/2006/relationships/comments" Target="../comments1.xml"/><Relationship Id="rId248" Type="http://schemas.openxmlformats.org/officeDocument/2006/relationships/hyperlink" Target="../../../../../:b:/r/sites/GerenciadeRegulacin/Shared%20Documents/General/2023/Regulaci%C3%B3n/146_08_2023_MATERIALIZACION%20RIESGOS%20PROCESO%20COMERCIALIZACION%20DE%20GAS%202024-2025/20230822123711213.pdf?csf=1&amp;web=1&amp;e=ngrZZ1" TargetMode="External"/><Relationship Id="rId12" Type="http://schemas.openxmlformats.org/officeDocument/2006/relationships/hyperlink" Target="../../../../../:b:/r/sites/GerenciadeRegulacin/Shared%20Documents/General/2023/Regulaci%C3%B3n/CREG/GOR/S2023001972%20_GOR_29_03_23.pdf?csf=1&amp;web=1&amp;e=yMbtlZ" TargetMode="External"/><Relationship Id="rId108" Type="http://schemas.openxmlformats.org/officeDocument/2006/relationships/hyperlink" Target="../../../../../:u:/r/sites/GerenciadeRegulacin/Shared%20Documents/General/2023/Regulaci%C3%B3n/66_05_2023_BANCOLOMBIA_GAS%20NATURAL%20S.A.%20%20E.S.P/66_05_2023_RE%20SOLICITUD%20PROCEDIMIENTO%20PARA%20EL%20MANEJO%20DE%20TITULOS%20NO%20LISTADOS%20EN%20EL%20RNVE.msg?csf=1&amp;web=1&amp;e=fIf9rT" TargetMode="External"/><Relationship Id="rId315" Type="http://schemas.openxmlformats.org/officeDocument/2006/relationships/hyperlink" Target="../../../../../:b:/r/sites/GerenciadeRegulacin/Shared%20Documents/General/2023/Regulaci%C3%B3n/158_09_2023_MME_Certificacion%20prestacion%20de%20servicio%20julio%20y%20agosto%20GRUPO%20VANTI/GNCB/Comunicaci%C3%B3n%20MME%20-%20Certificacion%20prestacion%20de%20servicio%20julio%20y%20agosto%202023%20GNCB.pdf?csf=1&amp;web=1&amp;e=PEc2Fc" TargetMode="External"/><Relationship Id="rId357" Type="http://schemas.openxmlformats.org/officeDocument/2006/relationships/hyperlink" Target="../../../../../:f:/r/sites/GerenciadeRegulacin/Shared%20Documents/General/2023/Regulaci%C3%B3n%202024/proyecto%20excedentes%20de%20gas?csf=1&amp;web=1&amp;e=fCvKPe" TargetMode="External"/><Relationship Id="rId54" Type="http://schemas.openxmlformats.org/officeDocument/2006/relationships/hyperlink" Target="../../../../../:b:/r/sites/GerenciadeRegulacin/Shared%20Documents/General/2023/Regulaci%C3%B3n/Concurso%20Econ%C3%B3mico/Soporte%20de%20pago_concurso%20economico%20Vigencia%202023_Vanti_23990036902.pdf?csf=1&amp;web=1&amp;e=hoM7hK" TargetMode="External"/><Relationship Id="rId96" Type="http://schemas.openxmlformats.org/officeDocument/2006/relationships/hyperlink" Target="../../../../../:b:/r/sites/GerenciadeRegulacin/Shared%20Documents/General/2023/Regulaci%C3%B3n/32_04_2023_Promioriente_Solicitud%20Acceso%20expediente%202022%20%E2%80%93%200068/32_05_2023_RTA_S2023002570.pdf?csf=1&amp;web=1&amp;e=XYxFoG" TargetMode="External"/><Relationship Id="rId161" Type="http://schemas.openxmlformats.org/officeDocument/2006/relationships/hyperlink" Target="../../../../../:b:/r/sites/GerenciadeRegulacin/Shared%20Documents/General/2023/Regulaci%C3%B3n/115_07_2023_CREG%20VANTI_S2023003085_20230000064/115_07_2023_CREG%20VANTI_Auto_Pruebas_20230000064_EXP_20200004.pdf?csf=1&amp;web=1&amp;e=EH9RM5" TargetMode="External"/><Relationship Id="rId217" Type="http://schemas.openxmlformats.org/officeDocument/2006/relationships/hyperlink" Target="../../../../../:b:/r/sites/GerenciadeRegulacin/Shared%20Documents/General/2023/Regulaci%C3%B3n/134_08_2023_SSPD_HONORABLES_SENADORES/VANTI/Respuesta%2010954269%20-%200%20Contestaci%C3%B3n%20Radicado%20a%20citar%2020232312595511%20VANTI%20SSPD%20(V1).pdf?csf=1&amp;web=1&amp;e=P688dL" TargetMode="External"/><Relationship Id="rId399" Type="http://schemas.openxmlformats.org/officeDocument/2006/relationships/hyperlink" Target="../../../../../:f:/r/sites/GerenciadeRegulacin/Shared%20Documents/General/2023/Regulaci%C3%B3n%202024/149_07_2024%20Solicitud%20de%20reversi%C3%B3n%20%20informaci%C3%B3n%20de%20la%20Taxonom%C3%ADa%20XBRL%202022?csf=1&amp;web=1&amp;e=qRy6HB" TargetMode="External"/><Relationship Id="rId259" Type="http://schemas.openxmlformats.org/officeDocument/2006/relationships/hyperlink" Target="../../../../../:f:/r/sites/GerenciadeRegulacin/Shared%20Documents/General/2023/Regulaci%C3%B3n/157_08_2023_SSPD_LINEAMIENTOS%20PARA%20EL%20REPORTE%20DE%20DATOS%20DEL%20SISTEMA%20DE%20GESTI%C3%93N%20DE%20RIESGO?csf=1&amp;web=1&amp;e=BBAihd" TargetMode="External"/><Relationship Id="rId23" Type="http://schemas.openxmlformats.org/officeDocument/2006/relationships/hyperlink" Target="../../../../../:f:/r/sites/GerenciadeRegulacin/Shared%20Documents/General/2023/Regulaci%C3%B3n/46_04_2023_Vanti_Solicitud%20DP%20JHON%20JAIRO%20GUTI%C3%89RREZ%20DUQUE?csf=1&amp;web=1&amp;e=bKh6L4" TargetMode="External"/><Relationship Id="rId119" Type="http://schemas.openxmlformats.org/officeDocument/2006/relationships/hyperlink" Target="../../../../../:b:/r/sites/GerenciadeRegulacin/Shared%20Documents/General/2023/Regulaci%C3%B3n/94_06_2023_GNCB_CREG_Informacion%20Resolucion%20CREG%20137%20de%202013%20Cundi%20(003)/94_06_2023_Anexo%20certificado_RV__Informacion_Resolucion_CREG_137_de_2013_1686064742271.pdf?csf=1&amp;web=1&amp;e=qJujfw" TargetMode="External"/><Relationship Id="rId270" Type="http://schemas.openxmlformats.org/officeDocument/2006/relationships/hyperlink" Target="../../../../../:f:/r/sites/GerenciadeRegulacin/Shared%20Documents/General/2023/Regulaci%C3%B3n/CREG%20073%202023?csf=1&amp;web=1&amp;e=qTvxyv" TargetMode="External"/><Relationship Id="rId326" Type="http://schemas.openxmlformats.org/officeDocument/2006/relationships/hyperlink" Target="../../../../../:u:/r/sites/GerenciadeRegulacin/Shared%20Documents/General/2023/Regulaci%C3%B3n/167_09_2023_CREG%20050/Reporte%20Circular%20CREG%20050%20de%20Barrancabermeja.eml?csf=1&amp;web=1&amp;e=55P1Ze" TargetMode="External"/><Relationship Id="rId65" Type="http://schemas.openxmlformats.org/officeDocument/2006/relationships/hyperlink" Target="../../../../../:x:/r/sites/GerenciadeRegulacin/Shared%20Documents/General/2023/Regulaci%C3%B3n/59_05_2023_SOLICITUD%20DE%20INFORMACI%C3%93N%20No%204%20AERG%20GRUPO%20VANTI%202022/59_05_2023_Status%20requerimiento%20KPMG%20Aspectos%20comerciales%20v2.xlsx?d=w780a6f71a9664e24bd26349bc7d29652&amp;csf=1&amp;web=1&amp;e=eP8yOU" TargetMode="External"/><Relationship Id="rId130" Type="http://schemas.openxmlformats.org/officeDocument/2006/relationships/hyperlink" Target="../../../../../:b:/r/sites/GerenciadeRegulacin/Shared%20Documents/General/2023/Regulaci%C3%B3n/95_06_2023_CREG_Comunicado_S2023002746/95_06_2023_Auto_Pruebas%20CREG%20VANTI_20230000041_EXP_20220001.pdf?csf=1&amp;web=1&amp;e=0fazh9" TargetMode="External"/><Relationship Id="rId368" Type="http://schemas.openxmlformats.org/officeDocument/2006/relationships/hyperlink" Target="Regulaci&#243;n%202024/19_01_2024_Informaci&#243;n%20Incendios%20Forestales%20GNCR/Respuesta%20al%20requerimiento%20SSPD%2020242310301421.%20Informaci&#243;n%20incendios%20forestales.%20GNCR.pdf" TargetMode="External"/><Relationship Id="rId172" Type="http://schemas.openxmlformats.org/officeDocument/2006/relationships/hyperlink" Target="../../../../../:u:/r/sites/GerenciadeRegulacin/Shared%20Documents/General/2023/Regulaci%C3%B3n/123_07_2023_S-2023-160092_GRUPO_VANTI_S.A._ESP/123_07_2023_RE%20Requerimeinto%20rquerimiento%20(Seguidilla%20de%20respuestas)CERTIFICADO%20S-2023-160092.msg?csf=1&amp;web=1&amp;e=mtaWrm" TargetMode="External"/><Relationship Id="rId228" Type="http://schemas.openxmlformats.org/officeDocument/2006/relationships/hyperlink" Target="../../../../../:b:/r/sites/GerenciadeRegulacin/Shared%20Documents/General/2023/Regulaci%C3%B3n/144_08_2023_Respuesta%20a%20las%20solicitudes%20del%20acta%20de%20la%20audiencia%20virtual%20realizada%20el%2010%20de%20julio%20de%202023/Respuesta_a_las_solicitudes_del_acta_de_la_audiencia_virtual_realizada_el_10_de_julio_de_2023_1692193985172.pdf?csf=1&amp;web=1&amp;e=Plpxrd" TargetMode="External"/><Relationship Id="rId281"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GAS%20NATURAL%20DEL%20ORIENTE.eml?csf=1&amp;web=1&amp;e=dymdaL" TargetMode="External"/><Relationship Id="rId337" Type="http://schemas.openxmlformats.org/officeDocument/2006/relationships/hyperlink" Target="Regulaci&#243;n%202024/18_01_2024_Informaci&#243;n%20Incendios%20Forestales%20GOR/Respuesta%20al%20requerimiento%20SSPD%2020242310301431.%20Informaci&#243;n%20incendios%20forestales.%20GOR.pdf" TargetMode="External"/><Relationship Id="rId34" Type="http://schemas.openxmlformats.org/officeDocument/2006/relationships/hyperlink" Target="145%20-%20Actuaci&#243;n%20Administrativa%20I2022007103%20Expedientes%20Gasnacer_vfinal.pdf" TargetMode="External"/><Relationship Id="rId76" Type="http://schemas.openxmlformats.org/officeDocument/2006/relationships/hyperlink" Target="../../../../../:u:/r/sites/GerenciadeRegulacin/Shared%20Documents/General/2023/Regulaci%C3%B3n/67_05_2023_MME_100_Resol.%2000420%20del%2012%20de%20mayo%20de%202023%20PP%201-2023/67_05_2023_Anexo%20Hilo%20Correo_RV%20Resoluci%C3%B3n%20reconocimiento%20del%20PP%201-2023%20FSSRI%20GAS.msg?csf=1&amp;web=1&amp;e=3TPW0c" TargetMode="External"/><Relationship Id="rId141" Type="http://schemas.openxmlformats.org/officeDocument/2006/relationships/hyperlink" Target="../../../../../:b:/r/sites/GerenciadeRegulacin/Shared%20Documents/General/2023/Regulaci%C3%B3n/32_04_2023_Promioriente_Solicitud%20Acceso%20expediente%202022%20%E2%80%93%200068/32_04_23_Promioriente%20_Comunicaci%C3%B3n%20CREG-%20Solicitud%20Acceso%20Expediente%20Promioriente%20-%2011-04-2023_JR.pdf?csf=1&amp;web=1&amp;e=5nFNhk" TargetMode="External"/><Relationship Id="rId379" Type="http://schemas.openxmlformats.org/officeDocument/2006/relationships/hyperlink" Target="../../../../../:f:/r/sites/GerenciadeRegulacin/Shared%20Documents/General/2023/Regulaci%C3%B3n%202024/137_07-2024%20Solicitud%20Reversion%20GRT1%20Feb%20a%20Mar%2024?csf=1&amp;web=1&amp;e=TL0R9L" TargetMode="External"/><Relationship Id="rId7" Type="http://schemas.openxmlformats.org/officeDocument/2006/relationships/hyperlink" Target="../../../../../:b:/r/sites/GerenciadeRegulacin/Shared%20Documents/General/2023/Regulaci%C3%B3n/Municipio%20Sutatausa/userFile1679595698880_GVANTI_MunicipioSutatausa_14_03_23.pdf?csf=1&amp;web=1&amp;e=66pfrN" TargetMode="External"/><Relationship Id="rId183" Type="http://schemas.openxmlformats.org/officeDocument/2006/relationships/hyperlink" Target="../../../../../:f:/r/sites/GerenciadeRegulacin/Shared%20Documents/General/2023/Regulaci%C3%B3n/130_07_2023_CONSEJO%20BOGOTA_Respuesta%20derecho%20de%20peticion_?csf=1&amp;web=1&amp;e=6eD4q0" TargetMode="External"/><Relationship Id="rId239" Type="http://schemas.openxmlformats.org/officeDocument/2006/relationships/hyperlink" Target="../../../../../:f:/r/sites/GerenciadeRegulacin/Shared%20Documents/General/2023/Regulaci%C3%B3n/134_08_2023_SSPD_HONORABLES_SENADORES?csf=1&amp;web=1&amp;e=9bDPn4" TargetMode="External"/><Relationship Id="rId390" Type="http://schemas.openxmlformats.org/officeDocument/2006/relationships/hyperlink" Target="../../../../../:f:/r/sites/GerenciadeRegulacin/Shared%20Documents/General/2023/Regulaci%C3%B3n%202024/140_07_2024%20Re%20Rad%2020242312484551-%20Calidad%20Informaci%C3%B3n%20GNCR?csf=1&amp;web=1&amp;e=RcjbyM" TargetMode="External"/><Relationship Id="rId404" Type="http://schemas.openxmlformats.org/officeDocument/2006/relationships/hyperlink" Target="../../../../../:f:/r/sites/GerenciadeRegulacin/Shared%20Documents/General/2023/Regulaci%C3%B3n%202024/154_07_2024%20Asunto%20Requerimiento%20de%20informaci%C3%B3n%20%E2%80%93%20Resoluciones%20CREG%20de%20aprobaci%C3%B3n%20de%20cargos%20de%20comercializaci%C3%B3n%20y%20distribuci%C3%B3n%20del%20servicio%20de%20gas%20por%20redes%20de%20Tuberia%20Vanti?csf=1&amp;web=1&amp;e=lWpUfW" TargetMode="External"/><Relationship Id="rId250" Type="http://schemas.openxmlformats.org/officeDocument/2006/relationships/hyperlink" Target="../../../../../:b:/r/sites/GerenciadeRegulacin/Shared%20Documents/General/2023/Regulaci%C3%B3n/152_08_2023_CREG_Comentarios%20Resoluci%C3%B3n%20CREG%20702%20003%20%E2%80%9CPor%20la%20cual%20se%20reglamentan%20aspectos/Comentarios_Grupo_Vanti_a_la_Resolucion_CREG_702_003_de_2023_1693601036812.pdf?csf=1&amp;web=1&amp;e=Gfauo2" TargetMode="External"/><Relationship Id="rId292" Type="http://schemas.openxmlformats.org/officeDocument/2006/relationships/hyperlink" Target="../../../../../: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OR.pdf?csf=1&amp;web=1&amp;e=ehcZth" TargetMode="External"/><Relationship Id="rId306" Type="http://schemas.openxmlformats.org/officeDocument/2006/relationships/hyperlink" Target="../../../../../:b:/r/sites/GerenciadeRegulacin/Shared%20Documents/General/2023/Regulaci%C3%B3n/148_08_2023_%20Comentarios%20Grupo%20Vanti%20al%20proyecto%20de%20Resoluci%C3%B3n%20705%20003%20DE%202023%20reglamento%20interno/Comentarios%20Resoluci%C3%B3n%20705%20003%20de%202023.pdf?csf=1&amp;web=1&amp;e=oxYJe6," TargetMode="External"/><Relationship Id="rId45" Type="http://schemas.openxmlformats.org/officeDocument/2006/relationships/hyperlink" Target="../../../../../:f:/r/sites/GerenciadeRegulacin/Shared%20Documents/General/2023/Regulaci%C3%B3n/50_04_2023_GOR_10184520%20-179%20%202023%20Solicitud%20de%20Reversi%C3%B3n%20GOR_GRCS8?csf=1&amp;web=1&amp;e=Bgcx1Y" TargetMode="External"/><Relationship Id="rId87" Type="http://schemas.openxmlformats.org/officeDocument/2006/relationships/hyperlink" Target="../../../../../:u:/r/sites/GerenciadeRegulacin/Shared%20Documents/General/2023/Regulaci%C3%B3n/77_05_2023_Resuelve%20Recurso%20DP%20SSPD_20238400204385.pdf-2/77_05_2023_Anexo%20Caso%20RTA%20GOR%20DP_10134859%20-%2063295956.msg?csf=1&amp;web=1&amp;e=BnhTQU" TargetMode="External"/><Relationship Id="rId110" Type="http://schemas.openxmlformats.org/officeDocument/2006/relationships/hyperlink" Target="../../../../../:b:/r/sites/GerenciadeRegulacin/Shared%20Documents/General/2023/Regulaci%C3%B3n/91_06_2023_SSPD_Vanti_20238001884641%20(002)/91_06_2023_SSPD_Vanti_20238001884641%20(002).pdf?csf=1&amp;web=1&amp;e=4Kquch" TargetMode="External"/><Relationship Id="rId348" Type="http://schemas.openxmlformats.org/officeDocument/2006/relationships/hyperlink" Target="../../../../../:f:/r/sites/GerenciadeRegulacin/Shared%20Documents/General/2023/Regulaci%C3%B3n%202024/10154520%E2%80%93006%E2%80%932024?csf=1&amp;web=1&amp;e=UuT43g" TargetMode="External"/><Relationship Id="rId152" Type="http://schemas.openxmlformats.org/officeDocument/2006/relationships/hyperlink" Target="../../../../../:b:/r/sites/GerenciadeRegulacin/Shared%20Documents/General/2023/Regulaci%C3%B3n/108_06_2023_VANTI%20CREG_Falla%20de%20Mayo_Reporte%20Tarifas2/108_06_2023_AnexoRadicado_Problemas_al_reporte_de_tarifas___Empresas_Reguladas_Reporte_de_Tarifas___VANTI_SA_ESP__Gases_del_Or_1687442736722.pdf?csf=1&amp;web=1&amp;e=WdcsuE" TargetMode="External"/><Relationship Id="rId194" Type="http://schemas.openxmlformats.org/officeDocument/2006/relationships/hyperlink" Target="../../../../../:f:/r/sites/GerenciadeRegulacin/Shared%20Documents/General/2023/Regulaci%C3%B3n/140_08_2023_MME_FondoSolidaridadValidaci%C3%B3nFSSRIGAS?csf=1&amp;web=1&amp;e=jAYFsO" TargetMode="External"/><Relationship Id="rId208" Type="http://schemas.openxmlformats.org/officeDocument/2006/relationships/hyperlink" Target="../../../../../:f:/r/sites/GerenciadeRegulacin/Shared%20Documents/General/2023/Regulaci%C3%B3n/30_03_2023_GOR-Respuesta%20Requerimiento%20de%20informaci%C3%B3n%20sobre%20la%20Revisi%C3%B3n%20Peri%C3%B3dica%20Obligatoria?csf=1&amp;web=1&amp;e=72hfUE" TargetMode="External"/><Relationship Id="rId261" Type="http://schemas.openxmlformats.org/officeDocument/2006/relationships/hyperlink" Target="../../../../../:b:/r/sites/GerenciadeRegulacin/Shared%20Documents/General/2023/Regulaci%C3%B3n/158_09_2023_MME_Certificacion%20prestacion%20de%20servicio%20julio%20y%20agosto%20GRUPO%20VANTI/GNCR/Comunicaci%C3%B3n%20MME%20-%20Certificacion%20prestacion%20de%20servicio%20julio%20y%20agosto%202023%20GNCR.pdf?csf=1&amp;web=1&amp;e=bbKuaK" TargetMode="External"/><Relationship Id="rId14" Type="http://schemas.openxmlformats.org/officeDocument/2006/relationships/hyperlink" Target="../../../../../:b:/r/sites/GerenciadeRegulacin/Shared%20Documents/General/2023/Regulaci%C3%B3n/37_04_2023_Derecho%20de%20peticion_GNCB_202331020089392/37_04_2023_GNCB_202331020089392.pdf?csf=1&amp;web=1&amp;e=Kyayjw" TargetMode="External"/><Relationship Id="rId56" Type="http://schemas.openxmlformats.org/officeDocument/2006/relationships/hyperlink" Target="../../../../../:u:/r/sites/GerenciadeRegulacin/Shared%20Documents/General/2023/Regulaci%C3%B3n/62_05_2023_20232031468021/62_05_2023_RV%20Notificacion%20electronica%20radicado%20salida%20No%2020232031468021.msg?csf=1&amp;web=1&amp;e=BqmdzP" TargetMode="External"/><Relationship Id="rId317" Type="http://schemas.openxmlformats.org/officeDocument/2006/relationships/hyperlink" Target="../../../../../:b:/r/sites/GerenciadeRegulacin/Shared%20Documents/General/2023/Regulaci%C3%B3n/158_09_2023_MME_Certificacion%20prestacion%20de%20servicio%20julio%20y%20agosto%20GRUPO%20VANTI/GOR/Comunicaci%C3%B3n%20MME%20-%20Certificacion%20prestacion%20de%20servicio%20julio%20y%20agosto%202023%20GOR.pdf?csf=1&amp;web=1&amp;e=oDmSBv" TargetMode="External"/><Relationship Id="rId359" Type="http://schemas.openxmlformats.org/officeDocument/2006/relationships/hyperlink" Target="../../../../../:f:/r/sites/GerenciadeRegulacin/Shared%20Documents/General/2023/Regulaci%C3%B3n%202024/cofinanciados%20con%20recursos%20del%20Presupuesto%20Gen?csf=1&amp;web=1&amp;e=P1XSYh" TargetMode="External"/><Relationship Id="rId98" Type="http://schemas.openxmlformats.org/officeDocument/2006/relationships/hyperlink" Target="../../../../../:b:/r/sites/GerenciadeRegulacin/Shared%20Documents/General/2023/Regulaci%C3%B3n/82_05_2023_Requerimiento%20de%20informaci%C3%B3n%20-%20Resoluci%C3%B3n%20CREG%20033%20de%202015/82_05_2023_Requerimiento%20de%20informaci%C3%B3n%20-%20Resoluci%C3%B3n%20CREG%20033%20de%202015%20VANTI%20(003).pdf?csf=1&amp;web=1&amp;e=vr13q0" TargetMode="External"/><Relationship Id="rId121" Type="http://schemas.openxmlformats.org/officeDocument/2006/relationships/hyperlink" Target="../../../../../:b:/r/sites/GerenciadeRegulacin/Shared%20Documents/General/2023/Regulaci%C3%B3n/90_Caso%20Creg%20Rta%20Pte/90_06_2023_Anexo%20CertificadoRV__Segunda_respuesta_Radicado_CREG_S2023002686___Reiteracion_requerimiento_para_completar_informaci_168606465214.pdf?csf=1&amp;web=1&amp;e=fWcXRt" TargetMode="External"/><Relationship Id="rId163" Type="http://schemas.openxmlformats.org/officeDocument/2006/relationships/hyperlink" Target="../../../../../:f:/r/sites/GerenciadeRegulacin/Shared%20Documents/General/2023/Regulaci%C3%B3n/117_07_2023_KPMG%20GRUPO%20VANTI_Cierre%20del%20informe%20de%20Auditor%C3%ADa%20Externa%20de%20Gesti%C3%B3n%20y%20Resultados%20a%C3%B1o%202022?csf=1&amp;web=1&amp;e=wlij76" TargetMode="External"/><Relationship Id="rId219" Type="http://schemas.openxmlformats.org/officeDocument/2006/relationships/hyperlink" Target="../../../../../:b:/r/sites/GerenciadeRegulacin/Shared%20Documents/General/2023/Regulaci%C3%B3n/Circular%20CREG%20050/15%20Agosto/Reporte_Circular_CREG_050_de_Barrancabermeja_1692193992133.pdf?csf=1&amp;web=1&amp;e=V9M1yI" TargetMode="External"/><Relationship Id="rId370" Type="http://schemas.openxmlformats.org/officeDocument/2006/relationships/hyperlink" Target="Regulaci&#243;n%202024/43_03_2024_Radicado%20No.%202024231011993%20-%20REQ%20Informaci&#243;n%20tarifaria%2001_2024/Respuesta%20al%20radicado%202024203231100012E,%20solicitud%20reversi&#243;n%20reporte%20Sistema%20Unificado%20de%20Costos%20y%20Gastos-SUCG%20vigencia%202022..zip" TargetMode="External"/><Relationship Id="rId230" Type="http://schemas.openxmlformats.org/officeDocument/2006/relationships/hyperlink" Target="../../../../../:b:/r/sites/GerenciadeRegulacin/Shared%20Documents/General/2023/Regulaci%C3%B3n/141_08_2023_CREG_VANTI_Respuesta%20a%20las%20solicitudes%20del%20acta%20de%20la%20audiencia%20realizada%20el%2019%20de%20julio%20de%202023/Aclaracion%20Audiencia%20VANTI.pdf?csf=1&amp;web=1&amp;e=dA9v0p" TargetMode="External"/><Relationship Id="rId25" Type="http://schemas.openxmlformats.org/officeDocument/2006/relationships/hyperlink" Target="026-02-2022%20Respuesta%20Rad%2020222310155391%20Solicitud%20de%20informaci&#243;n%20de%20accidentes%20en%20instalaciones%20internas" TargetMode="External"/><Relationship Id="rId67" Type="http://schemas.openxmlformats.org/officeDocument/2006/relationships/hyperlink" Target="../../../../../:u:/r/sites/GerenciadeRegulacin/Shared%20Documents/General/2023/Regulaci%C3%B3n/63_05_2023_CREG_S2023002445/63_05_2023_Anexos_Traslado%20Comunicaci%C3%B3n%20Radicado%20CREG%20S2023002445.msg?csf=1&amp;web=1&amp;e=sCou1q" TargetMode="External"/><Relationship Id="rId272" Type="http://schemas.openxmlformats.org/officeDocument/2006/relationships/hyperlink" Target="../../../../../:b:/r/sites/GerenciadeRegulacin/Shared%20Documents/General/2023/Regulaci%C3%B3n/SOLSINCON/VANTI%20SA.pdf?csf=1&amp;web=1&amp;e=Nq9kQ2" TargetMode="External"/><Relationship Id="rId328" Type="http://schemas.openxmlformats.org/officeDocument/2006/relationships/hyperlink" Target="../../../../../:b:/r/sites/GerenciadeRegulacin/Shared%20Documents/General/2023/Regulaci%C3%B3n/184_11_2023_SSPD_Requerimiento%20de%20Informaci%C3%B3n%20sobre%20suministro%20de%20Gas%20Natural%20mes%20de%20octubre/20232314341021.pdf?csf=1&amp;web=1&amp;e=HHbRTO" TargetMode="External"/><Relationship Id="rId132" Type="http://schemas.openxmlformats.org/officeDocument/2006/relationships/hyperlink" Target="../../../../../:b:/r/sites/GerenciadeRegulacin/Shared%20Documents/General/2023/Regulaci%C3%B3n/97_06_2023_SSPD%20Vanti_20232311630251/97_06_2023_Visita%20de%20Evaluacion%20Integral%20de%20la%20vigencia%202022_20232312038101.pdf?csf=1&amp;web=1&amp;e=facQuf" TargetMode="External"/><Relationship Id="rId174" Type="http://schemas.openxmlformats.org/officeDocument/2006/relationships/hyperlink" Target="../../../../../:b:/r/sites/GerenciadeRegulacin/Shared%20Documents/General/2023/Regulaci%C3%B3n/Comentarios/Comentarios_Grupo_Vanti_a_la_Resolucion_CREG_705_002_de_2023_1689779981636.pdf?csf=1&amp;web=1&amp;e=ulfvnS" TargetMode="External"/><Relationship Id="rId381" Type="http://schemas.openxmlformats.org/officeDocument/2006/relationships/hyperlink" Target="../../../../../:f:/r/sites/GerenciadeRegulacin/Shared%20Documents/General/2023/Regulaci%C3%B3n%202024/131_07_2024%20Respuesta%20SSPD%20GOR%20radicado%2020242302222491_Calidad%20de%20informaci%C3%B3n%20SUI%20GRT1?csf=1&amp;web=1&amp;e=SSEWan" TargetMode="External"/><Relationship Id="rId241" Type="http://schemas.openxmlformats.org/officeDocument/2006/relationships/hyperlink" Target="../../../../../:b:/r/sites/GerenciadeRegulacin/Shared%20Documents/General/2023/Regulaci%C3%B3n/132_08_2023_SSPD_REQInfoTarifaria_20232312522141/Requerimiento%20verificaci%C3%B3n%20tarifaria%20mayo%2020232312522141_%20Vanti.pdf?csf=1&amp;web=1&amp;e=wKb3KQ" TargetMode="External"/><Relationship Id="rId36" Type="http://schemas.openxmlformats.org/officeDocument/2006/relationships/hyperlink" Target="file:///X:\CONSECUTIVOS\2022\Regulacion\76-04-2022Respuesta%20Radicado%20No.%2020222311861041%20&#8211;%20Solicitud%20informaci&#243;n%20Indicadores%20de%20Gesti&#243;n%20A&#241;o%202021%20-Resoluci&#243;n%20CREG%20072%20de%202002\076-Respuesta%20requerimiento%2020222311861041%20Indicadores%20CREG%20072%20de%202002_GOR.pdf" TargetMode="External"/><Relationship Id="rId283" Type="http://schemas.openxmlformats.org/officeDocument/2006/relationships/hyperlink" Target="../../../../../:b:/r/sites/GerenciadeRegulacin/Shared%20Documents/General/2023/Regulaci%C3%B3n/177_10_2023_CREG_Proyecto%20de%20resolucion%20705%20004/Proyecto_Resoluci%C3%B3n_CREG_705_004_2023.pdf?csf=1&amp;web=1&amp;e=53FEwU" TargetMode="External"/><Relationship Id="rId339" Type="http://schemas.openxmlformats.org/officeDocument/2006/relationships/hyperlink" Target="../../../../../:u:/r/sites/GerenciadeRegulacin/Shared%20Documents/General/2023/Regulaci%C3%B3n/167_09_2023_CREG%20050/Reporte%20Circular%20CREG%20050%20de%20Vanti%20S.A%20ESP.eml?csf=1&amp;web=1&amp;e=rILyUx" TargetMode="External"/><Relationship Id="rId78" Type="http://schemas.openxmlformats.org/officeDocument/2006/relationships/hyperlink" Target="../../../../../:u:/r/sites/GerenciadeRegulacin/Shared%20Documents/General/2023/Regulaci%C3%B3n/60_05_2023_10085791/60_05_2023_Evidencia%20Envio_10085791-0.eml?csf=1&amp;web=1&amp;e=zMhd8o" TargetMode="External"/><Relationship Id="rId101" Type="http://schemas.openxmlformats.org/officeDocument/2006/relationships/hyperlink" Target="../../../../../:b:/r/sites/GerenciadeRegulacin/Shared%20Documents/General/2023/Regulaci%C3%B3n/83_05_2023_GNCB%20RTA_E_Requerimiento%20No%20%2020232311641121%20-%20GNCB/83_05_2023_GNCB%20RTA_E_Requerimiento%20No%20%2020232311641121%20-%20GNCB.pdf?csf=1&amp;web=1&amp;e=pbe2qg" TargetMode="External"/><Relationship Id="rId143" Type="http://schemas.openxmlformats.org/officeDocument/2006/relationships/hyperlink" Target="../../../../../:b:/r/sites/GerenciadeRegulacin/Shared%20Documents/General/2023/Regulaci%C3%B3n/DANE/RTA%20-20232100002251T-GRUPO%20VANTI_03_23.pdf?csf=1&amp;web=1&amp;e=VPyy3P" TargetMode="External"/><Relationship Id="rId185" Type="http://schemas.openxmlformats.org/officeDocument/2006/relationships/hyperlink" Target="../../../../../:b:/r/sites/GerenciadeRegulacin/Shared%20Documents/General/2023/Regulaci%C3%B3n/130_07_2023_CONSEJO%20BOGOTA_Respuesta%20derecho%20de%20peticion_/Respuesta%20Solicitud%20del%20consejo%20Bogot%C3%A1%2010%20de%20julio%20de%202023%20(004).pdf?csf=1&amp;web=1&amp;e=sRWomd" TargetMode="External"/><Relationship Id="rId350" Type="http://schemas.openxmlformats.org/officeDocument/2006/relationships/hyperlink" Target="../../../../../:f:/r/sites/GerenciadeRegulacin/Shared%20Documents/General/2023/Regulaci%C3%B3n%202024/Solicitud%20expediente%202020-0227?csf=1&amp;web=1&amp;e=7EJ3Uw" TargetMode="External"/><Relationship Id="rId406" Type="http://schemas.openxmlformats.org/officeDocument/2006/relationships/hyperlink" Target="../../../../../:f:/r/sites/GerenciadeRegulacin/Shared%20Documents/General/2023/Regulaci%C3%B3n%202024/156_07_2024%20Asunto%20Requerimiento%20de%20informaci%C3%B3n%20%E2%80%93%20Resoluciones%20CREG%20de%20aprobaci%C3%B3n%20de%20cargos%20de%20comercializaci%C3%B3n%20y%20distribuci%C3%B3n%20del%20servicio%20de%20gas%20por%20redes%20de%20Tuberia%20GNCR?csf=1&amp;web=1&amp;e=pAnQui" TargetMode="External"/><Relationship Id="rId9" Type="http://schemas.openxmlformats.org/officeDocument/2006/relationships/hyperlink" Target="../../../../../:b:/r/sites/GerenciadeRegulacin/Shared%20Documents/General/2023/Regulaci%C3%B3n/SSPD/VANTI/28-Respuesta%20SSPD%20Radicado%2020232311079961_05_04_23_Vanti.pdf?csf=1&amp;web=1&amp;e=im3gaF" TargetMode="External"/><Relationship Id="rId210" Type="http://schemas.openxmlformats.org/officeDocument/2006/relationships/hyperlink" Target="../../../../../:b:/r/sites/GerenciadeRegulacin/Shared%20Documents/General/2023/Regulaci%C3%B3n/31_03_2023_GNCB-Respuesta%20Requerimiento%20de%20informaci%C3%B3n%20sobre%20la%20Revisi%C3%B3n%20Peri%C3%B3dica%20Obligatoria/028-%20Respuesta%20requerimiento%20Informaci%C3%B3n%20RPO%202022_cundi.pdf?csf=1&amp;web=1&amp;e=2ttvfu" TargetMode="External"/><Relationship Id="rId392" Type="http://schemas.openxmlformats.org/officeDocument/2006/relationships/hyperlink" Target="../../../../../:f:/r/sites/GerenciadeRegulacin/Shared%20Documents/General/2023/Regulaci%C3%B3n%202024/142_07_2024%20Respuesta%20Radicado%20Suspenci%C3%B3n%20Gas%20Nacer%20(El%20Banco,%20El%20burro,%20Tamalameque,%20Pailitas)?csf=1&amp;web=1&amp;e=SIRgSI" TargetMode="External"/><Relationship Id="rId252" Type="http://schemas.openxmlformats.org/officeDocument/2006/relationships/hyperlink" Target="../../../../../:b:/r/sites/GerenciadeRegulacin/Shared%20Documents/General/2023/Regulaci%C3%B3n/153_09_2023_CREG_Solicitud%20expediente%202020-0118/Comunicaci%C3%B3n%20CREG%20-%20Solicitud%20de%20acceso%20expediente%20Vanti%20-%2004-09-2023.pdf?csf=1&amp;web=1&amp;e=BNemRl" TargetMode="External"/><Relationship Id="rId294" Type="http://schemas.openxmlformats.org/officeDocument/2006/relationships/hyperlink" Target="../../../../../:f:/r/sites/GerenciadeRegulacin/Shared%20Documents/General/2023/Regulaci%C3%B3n/MME/Certificaci%C3%B3n%20de%20la%20prestaci%C3%B3n%20del%20servicio%20de%20gas%20combustible%20por%20redes%20de%20tuber%C3%ADa%20para%20los%20meses%20de%20octubre%20y%20noviembre%202023?csf=1&amp;web=1&amp;e=ecEzZY" TargetMode="External"/><Relationship Id="rId308" Type="http://schemas.openxmlformats.org/officeDocument/2006/relationships/hyperlink" Target="../../../../../:b:/r/sites/GerenciadeRegulacin/Shared%20Documents/General/2023/Regulaci%C3%B3n/151_08_2023_Respuesta%20al%20requerimiento%20con%20n%C3%BAmero%20de%20radicado%20S2023003706%20del%2015%20de/Respuesta_al_requerimiento_con_Radicado_S2023003706_del_15_de_agosto_de_2023___AUTO_0000103_del_2023_1693579303305.pdf?csf=1&amp;web=1&amp;e=R2Yk6x" TargetMode="External"/><Relationship Id="rId47" Type="http://schemas.openxmlformats.org/officeDocument/2006/relationships/hyperlink" Target="../../../../../:b:/r/sites/GerenciadeRegulacin/Shared%20Documents/General/2023/Regulaci%C3%B3n/55_04_2023_VANTI_9896762%20-%2001523CR0004838/55_04_2023_Rta_VANTI_Respuesta%20requerimiento%20SSPD%20-%2028-04-2023.pdf?csf=1&amp;web=1&amp;e=t7ZoG2" TargetMode="External"/><Relationship Id="rId89" Type="http://schemas.openxmlformats.org/officeDocument/2006/relationships/hyperlink" Target="../../../../../:u:/r/sites/GerenciadeRegulacin/Shared%20Documents/General/2023/Regulaci%C3%B3n/63_05_2023_CREG_S2023002445/63_05_2023_RE%20TRASLADO%20comunicaci%C3%B3n.%20Radicado%20CREG%20S2023002445.msg?csf=1&amp;web=1&amp;e=hYsBJQ" TargetMode="External"/><Relationship Id="rId112" Type="http://schemas.openxmlformats.org/officeDocument/2006/relationships/hyperlink" Target="../../../../../:b:/r/sites/GerenciadeRegulacin/Shared%20Documents/General/2023/Regulaci%C3%B3n/95_06_2023_CREG_Comunicado_S2023002746/95_06_2023_CREG_Comunicado_S2023002746.pdf?csf=1&amp;web=1&amp;e=nxmSPO" TargetMode="External"/><Relationship Id="rId154" Type="http://schemas.openxmlformats.org/officeDocument/2006/relationships/hyperlink" Target="../../../../../:b:/r/sites/GerenciadeRegulacin/Shared%20Documents/General/2023/Regulaci%C3%B3n/CREG/CREG%20702%20001_2023.pdf?csf=1&amp;web=1&amp;e=QXWgtP" TargetMode="External"/><Relationship Id="rId361" Type="http://schemas.openxmlformats.org/officeDocument/2006/relationships/hyperlink" Target="../../../../../:f:/r/sites/GerenciadeRegulacin/Shared%20Documents/General/2023/Regulaci%C3%B3n%202024/64_04_2024_Desviaciones%20significativas?csf=1&amp;web=1&amp;e=kxkTHv" TargetMode="External"/><Relationship Id="rId196" Type="http://schemas.openxmlformats.org/officeDocument/2006/relationships/hyperlink" Target="../../../../../:b:/r/sites/GerenciadeRegulacin/Shared%20Documents/General/2023/Regulaci%C3%B3n/140_08_2023_MME_FondoSolidaridadValidaci%C3%B3nFSSRIGAS/Respuesta%2010954269%20-%200%20Contestaci%C3%B3n%20Radicado%20a%20citar%2020232312595511%20VANTI%20SSPD%20(V1).pdf?csf=1&amp;web=1&amp;e=bD4dKa" TargetMode="External"/><Relationship Id="rId16" Type="http://schemas.openxmlformats.org/officeDocument/2006/relationships/hyperlink" Target="../../../../../:b:/r/sites/GerenciadeRegulacin/Shared%20Documents/General/2023/Regulaci%C3%B3n/40_04_2023_Comunicaci%C3%B3n%20MME%20-%20Certificaci%C3%B3n%20enero%20y%20febrero%202023%20Vanti/40_04_2023_Comunicaci%C3%B3n%20MME%20-%20Certificaci%C3%B3n%20enero%20y%20febrero%202023%20Vanti.pdf?csf=1&amp;web=1&amp;e=URU0KP" TargetMode="External"/><Relationship Id="rId221" Type="http://schemas.openxmlformats.org/officeDocument/2006/relationships/hyperlink" Target="../../../../../:b:/r/sites/GerenciadeRegulacin/Shared%20Documents/General/2023/Regulaci%C3%B3n/Circular%20CREG%20050/15%20Agosto/Reporte_Circular_CREG_050_de_Vanti_S.A_ESP_16921940035.pdf?csf=1&amp;web=1&amp;e=Sopc0y" TargetMode="External"/><Relationship Id="rId263" Type="http://schemas.openxmlformats.org/officeDocument/2006/relationships/hyperlink" Target="../../../../../:b:/r/sites/GerenciadeRegulacin/Shared%20Documents/General/2023/Regulaci%C3%B3n/162_09_2023_KPGM_VANTI/VANTI_KPMG_2022%20(4).pdf?csf=1&amp;web=1&amp;e=wx2pD9" TargetMode="External"/><Relationship Id="rId319" Type="http://schemas.openxmlformats.org/officeDocument/2006/relationships/hyperlink" Target="../../../../../:b:/r/sites/GerenciadeRegulacin/Shared%20Documents/General/2023/Regulaci%C3%B3n/161_09_2023_KPGM_GOR/GOR_KPMG_2022%20(3).pdf?csf=1&amp;web=1&amp;e=VPtSyj" TargetMode="External"/><Relationship Id="rId58" Type="http://schemas.openxmlformats.org/officeDocument/2006/relationships/hyperlink" Target="https://superservicios.correocertificado4-72.com.co/viewmessage.php?messageid=idf4ca141780e87a5b3ffce09f28d45d8e34462cfce3dbcaf4c841186f01999b3a" TargetMode="External"/><Relationship Id="rId123" Type="http://schemas.openxmlformats.org/officeDocument/2006/relationships/hyperlink" Target="../../../../../:u:/r/sites/GerenciadeRegulacin/Shared%20Documents/General/2023/Regulaci%C3%B3n/77_05_2023_Resuelve%20Recurso%20DP%20SSPD_20238400204385.pdf-2/77_05_2023_Correo%20de%20Escalamiento_RV%20Notificaci%C3%B3n%20electr%C3%B3nica%20radicado%20entrada%20No%2020235291792862.msg?csf=1&amp;web=1&amp;e=32VGEW" TargetMode="External"/><Relationship Id="rId330" Type="http://schemas.openxmlformats.org/officeDocument/2006/relationships/hyperlink" Target="https://grupovanti-my.sharepoint.com/:b:/r/personal/g0574626_grupovanti_com/Documents/Nuevo%20SUI/02.%20Seguimiento/CONSECUTIVOS/Regulaci%C3%B3n%202024/01_01_2024_REVERSION%20AOM%202022/01%202024%20-Solicitud%20reversion%20costos%20ABC%20a%C3%B1o%202022.pdf?csf=1&amp;web=1&amp;e=HheaT8" TargetMode="External"/><Relationship Id="rId165" Type="http://schemas.openxmlformats.org/officeDocument/2006/relationships/hyperlink" Target="../../../../../:u:/r/sites/GerenciadeRegulacin/Shared%20Documents/General/2023/Regulaci%C3%B3n/116_07_2023_SSPD%20VANTI_20238002265641/116_07_2023_SSPD%20VANTI_Notificacion%20electronica%20radicado%20salida%20No%2020238002265641.msg?csf=1&amp;web=1&amp;e=eqCBVA" TargetMode="External"/><Relationship Id="rId372" Type="http://schemas.openxmlformats.org/officeDocument/2006/relationships/hyperlink" Target="Regulaci&#243;n%202024/66_04_2024_Consultas%20enero%20y%20febrero/CONSULTAS%20DANE%2004_2024.pdf" TargetMode="External"/><Relationship Id="rId232" Type="http://schemas.openxmlformats.org/officeDocument/2006/relationships/hyperlink" Target="../../../../../:f:/r/sites/GerenciadeRegulacin/Shared%20Documents/General/2023/Regulaci%C3%B3n/141_08_2023_CREG_VANTI_Respuesta%20a%20las%20solicitudes%20del%20acta%20de%20la%20audiencia%20realizada%20el%2019%20de%20julio%20de%202023?csf=1&amp;web=1&amp;e=QLyhKZ" TargetMode="External"/><Relationship Id="rId274" Type="http://schemas.openxmlformats.org/officeDocument/2006/relationships/hyperlink" Target="../../../../../:f:/r/sites/GerenciadeRegulacin/Shared%20Documents/General/2023/Regulaci%C3%B3n/169_10_2023_CREG_Proyecto%20de%20resoluci%C3%B3n%20702%20005%20de%202023?csf=1&amp;web=1&amp;e=3i3EIP" TargetMode="External"/><Relationship Id="rId27" Type="http://schemas.openxmlformats.org/officeDocument/2006/relationships/hyperlink" Target="023-01-2022%20CREG%20Reporte%20Activos%202021_GNCB\023-01-2022%20CREG%20Reporte%20Activos%202021_GNCB.pdf" TargetMode="External"/><Relationship Id="rId69" Type="http://schemas.openxmlformats.org/officeDocument/2006/relationships/hyperlink" Target="../../../../../:u:/r/sites/GerenciadeRegulacin/Shared%20Documents/General/2023/Regulaci%C3%B3n/65_05_2023_VANTI_S20230100002220/65_05_2023_VANTI_S20230100002220_Anexo_1.eml?csf=1&amp;web=1&amp;e=2gTkxF" TargetMode="External"/><Relationship Id="rId134" Type="http://schemas.openxmlformats.org/officeDocument/2006/relationships/hyperlink" Target="../../../../../:b:/r/sites/GerenciadeRegulacin/Shared%20Documents/General/2023/Regulaci%C3%B3n/58_05_2023_Requerimiento%20de%20informaci%C3%B3n%2020232311184221/58_05_2023_RTA_031-%20Respuesta%20requerimiento%20de%20informaci%C3%B3n%2020232311184221.pdf?csf=1&amp;web=1&amp;e=QHAaFZ" TargetMode="External"/><Relationship Id="rId80" Type="http://schemas.openxmlformats.org/officeDocument/2006/relationships/hyperlink" Target="../../../../../:b:/r/sites/GerenciadeRegulacin/Shared%20Documents/General/2023/Regulaci%C3%B3n/70_05_2023_SSPD%20GNCB_20232311641121/70_05_2023_SSPD%20GNCB_20232311641121.pdf?csf=1&amp;web=1&amp;e=QqLmlu" TargetMode="External"/><Relationship Id="rId155" Type="http://schemas.openxmlformats.org/officeDocument/2006/relationships/hyperlink" Target="../../../../../:b:/r/sites/GerenciadeRegulacin/Shared%20Documents/General/2023/Regulaci%C3%B3n/12_01_2023_CREG%20Reporte%20Activos%202022_Vanti/12_01_2023_CREG%20Reporte%20Activos%202022_Vanti.pdf?csf=1&amp;web=1&amp;e=ntW6Y7" TargetMode="External"/><Relationship Id="rId176" Type="http://schemas.openxmlformats.org/officeDocument/2006/relationships/hyperlink" Target="../../../../../:b:/r/sites/GerenciadeRegulacin/Shared%20Documents/General/2023/Regulaci%C3%B3n/131_07_2023_MME_Comentarios%20Modificacion%20Decreto/Decreto%20Mecanismo%20Diferencial%20de%20Estabilizacio%CC%81n%20de%20precios%20de%20la%20Gasolina%20Motor%20Corriente%20(GMC)%20y%20Aceite%20Combustible%20para%20Motores%20(ACPM).pdf?csf=1&amp;web=1&amp;e=dnaVwG" TargetMode="External"/><Relationship Id="rId197" Type="http://schemas.openxmlformats.org/officeDocument/2006/relationships/hyperlink" Target="../../../../../:b:/r/sites/GerenciadeRegulacin/Shared%20Documents/General/2023/Regulaci%C3%B3n/02-01-2023%20Citaci%C3%B3n%20para%20notificar%20la%20liquidaci%C3%B3n%20GNCR/S2022007121.pdf?csf=1&amp;web=1&amp;e=VoSAP1" TargetMode="External"/><Relationship Id="rId341" Type="http://schemas.openxmlformats.org/officeDocument/2006/relationships/hyperlink" Target="Regulaci&#243;n%202024/29_02_2024_Requerimiento%20Calidad%20de%20la%20Informaci&#243;n%20-%20Taxonom&#237;a%20XBRL%202022%20GNCB/Respuesta%20Radicado%20No.%2020242300418781%20Requerimiento%20Calidad%20de%20la%20Informaci&#243;n%20-%20Taxonom&#237;a%20XBRL%202022..pdf" TargetMode="External"/><Relationship Id="rId362" Type="http://schemas.openxmlformats.org/officeDocument/2006/relationships/hyperlink" Target="Regulaci&#243;n%202024/10_01_2024_Anexo%2018%20de%20la%20Resoluci&#243;n%20CREG%20202%20de%202014%20GN/010%20CREG%20Reporte%20Activos%202023%20Vanti.pdf" TargetMode="External"/><Relationship Id="rId383" Type="http://schemas.openxmlformats.org/officeDocument/2006/relationships/hyperlink" Target="../../../../../:f:/r/sites/GerenciadeRegulacin/Shared%20Documents/General/2023/Regulaci%C3%B3n%202024/133_07_2024%20REPORTE%20TRIMESTRAL%20DE%20COBERTURAS%20GAS%20COMBUSTIBLE%20POR%20REDES%20TRIMESTRE%20II%202024%20-%20VANTI?csf=1&amp;web=1&amp;e=yzmQ7T" TargetMode="External"/><Relationship Id="rId201" Type="http://schemas.openxmlformats.org/officeDocument/2006/relationships/hyperlink" Target="../../../../../:f:/r/sites/GerenciadeRegulacin/Shared%20Documents/General/2023/Regulaci%C3%B3n/21-03-2023%20%20al%2024-03-2023%20Indicadores%20SSPD?csf=1&amp;web=1&amp;e=lzCsp1" TargetMode="External"/><Relationship Id="rId222" Type="http://schemas.openxmlformats.org/officeDocument/2006/relationships/hyperlink" Target="../../../../../:f:/r/sites/GerenciadeRegulacin/Shared%20Documents/General/2023/Regulaci%C3%B3n/Circular%20CREG%20050/15%20Agosto?csf=1&amp;web=1&amp;e=7puGQk" TargetMode="External"/><Relationship Id="rId243" Type="http://schemas.openxmlformats.org/officeDocument/2006/relationships/hyperlink" Target="../../../../../:b:/r/sites/GerenciadeRegulacin/Shared%20Documents/General/2023/Regulaci%C3%B3n/133_07_2023_CREG_Reporte%20Costos%20Telemetria_E2023014207/Vanti%20Reporte%20circular%20CREG%20056%20de%202023.pdf?csf=1&amp;web=1&amp;e=WN3PTw" TargetMode="External"/><Relationship Id="rId264" Type="http://schemas.openxmlformats.org/officeDocument/2006/relationships/hyperlink" Target="../../../../../:b:/r/sites/GerenciadeRegulacin/Shared%20Documents/General/2023/Regulaci%C3%B3n/161_09_2023_KPGM_GOR/GOR_KPMG_2022%20(3).pdf?csf=1&amp;web=1&amp;e=VPtSyj" TargetMode="External"/><Relationship Id="rId285" Type="http://schemas.openxmlformats.org/officeDocument/2006/relationships/hyperlink" Target="../../../../../:u:/r/sites/GerenciadeRegulacin/Shared%20Documents/General/2023/Regulaci%C3%B3n/167_09_2023_CREG%20050/Reporte%20Circular%20CREG%20050%20de%20Barrancabermeja.eml?csf=1&amp;web=1&amp;e=55P1Ze" TargetMode="External"/><Relationship Id="rId17" Type="http://schemas.openxmlformats.org/officeDocument/2006/relationships/hyperlink" Target="../../../../../:b:/r/sites/GerenciadeRegulacin/Shared%20Documents/General/2023/Regulaci%C3%B3n/42_04_2023_Comunicaci%C3%B3n%20MME%20-%20Certificaci%C3%B3n%20enero%20y%20febrero%202023%20GNCR/42_04_2023_Comunicaci%C3%B3n%20MME%20-%20Certificaci%C3%B3n%20enero%20y%20febrero%202023%20GNCR.pdf?csf=1&amp;web=1&amp;e=Xx2Hs2" TargetMode="External"/><Relationship Id="rId38" Type="http://schemas.openxmlformats.org/officeDocument/2006/relationships/hyperlink" Target="../../../../../:f:/r/sites/GerenciadeRegulacin/Shared%20Documents/General/2023/Regulaci%C3%B3n/52_04_23_Grupo%20VANTI?csf=1&amp;web=1&amp;e=W4BUEw" TargetMode="External"/><Relationship Id="rId59" Type="http://schemas.openxmlformats.org/officeDocument/2006/relationships/hyperlink" Target="../../../../../:b:/r/sites/GerenciadeRegulacin/Shared%20Documents/General/2023/Regulaci%C3%B3n/59_05_2023_SOLICITUD%20DE%20INFORMACI%C3%93N%20No%204%20AERG%20GRUPO%20VANTI%202022/59_05_2023_SOLICITUD%20DE%20INFORMACI%C3%93N%20No%204%20AERG%20GRUPO%20VANTI%202022_1_.pdf?csf=1&amp;web=1&amp;e=DTWJWI" TargetMode="External"/><Relationship Id="rId103" Type="http://schemas.openxmlformats.org/officeDocument/2006/relationships/hyperlink" Target="../../../../../:b:/r/sites/GerenciadeRegulacin/Shared%20Documents/General/2023/Regulaci%C3%B3n/CREG%20MARZO/VANTI/S2023001048%20%2014-03.pdf?csf=1&amp;web=1&amp;e=Js7Mak" TargetMode="External"/><Relationship Id="rId124" Type="http://schemas.openxmlformats.org/officeDocument/2006/relationships/hyperlink" Target="../../../../../:u:/r/sites/GerenciadeRegulacin/Shared%20Documents/General/2023/Regulaci%C3%B3n/81_05_2023_VANTI_10283596%20%20%20-%200%20%20SP/81_05_2023_Correo%20de%20Escalamiento_RE%20URG_VIP%201%20D%C3%8DA%20RV%20Reporte%20de%20Prestaci%C3%B3n%20del%20Servicio%20de%20Gas%20Natural%20en%20el%20Municipio%20de%20Soacha%20%20TICKET%2010283596.msg?csf=1&amp;web=1&amp;e=kTWszJ" TargetMode="External"/><Relationship Id="rId310" Type="http://schemas.openxmlformats.org/officeDocument/2006/relationships/hyperlink" Target="../../../../../:b:/r/sites/GerenciadeRegulacin/Shared%20Documents/General/2023/Regulaci%C3%B3n/155_08_2024_SICOM_Activacion%20Usuarios/155_08_2023_SICOM_Activaci%C3%B3n%20de%20los%20usuarios%20plataforma%20SICOM%20GNCR/155%20-%20Solicitud%20desbloqueo%20de%20usuarios%20SICOM_gnc.pdf?csf=1&amp;web=1&amp;e=etzaJQ" TargetMode="External"/><Relationship Id="rId70" Type="http://schemas.openxmlformats.org/officeDocument/2006/relationships/hyperlink" Target="../../../../../:b:/r/sites/GerenciadeRegulacin/Shared%20Documents/General/2023/Regulaci%C3%B3n/65_05_2023_VANTI_S20230100002220/65_05_2023_RTA%20TGI%20_%20S20230100002220.pdf?csf=1&amp;web=1&amp;e=FZcn9I" TargetMode="External"/><Relationship Id="rId91" Type="http://schemas.openxmlformats.org/officeDocument/2006/relationships/hyperlink" Target="../../../../../:b:/r/sites/GerenciadeRegulacin/Shared%20Documents/General/2023/Regulaci%C3%B3n/81_05_2023_VANTI_10283596%20%20%20-%200%20%20SP/81_05_2023_VANTI_10283596%20%20%20-%200%20%20SP.pdf?csf=1&amp;web=1&amp;e=Jycsz2" TargetMode="External"/><Relationship Id="rId145" Type="http://schemas.openxmlformats.org/officeDocument/2006/relationships/hyperlink" Target="../../../../../:b:/r/sites/GerenciadeRegulacin/Shared%20Documents/General/2023/Regulaci%C3%B3n/23_03_2023_CREG%20Vanti_Reporte_Indicadores_CREG_072%20_de%20_2002_Vanti/23_03_2023_CREG%20Vanti_Reporte_Indicadores_CREG_072%20_de%20_2002_Vanti.pdf?csf=1&amp;web=1&amp;e=lXTVwp" TargetMode="External"/><Relationship Id="rId166" Type="http://schemas.openxmlformats.org/officeDocument/2006/relationships/hyperlink" Target="../../../../../:b:/r/sites/GerenciadeRegulacin/Shared%20Documents/General/2023/Regulaci%C3%B3n/113_07_2023_%20VANTI%20SSPD_%20Evaluaci%C3%B3n%20integral%20SSPD%20-%20Respuesta%20a%20los%20compromisos_JR1/113_07_2023_%20VANTI%20SSPD_%20Evaluaci%C3%B3n%20integral%20SSPD%20-%20Respuesta%20a%20los%20compromisos_JR1.pdf?csf=1&amp;web=1&amp;e=KXoPsy" TargetMode="External"/><Relationship Id="rId187" Type="http://schemas.openxmlformats.org/officeDocument/2006/relationships/hyperlink" Target="../../../../../:b:/r/sites/GerenciadeRegulacin/Shared%20Documents/General/2023/Regulaci%C3%B3n/134_08_2023_SSPD_HONORABLES_SENADORES/GOR/Respuesta%2010831315%20-%200%20Contestaci%C3%B3n%20Radicado%20a%20citar%2020232312595781%20GOR%20SSPD%20(V3).pdf?csf=1&amp;web=1&amp;e=VylzTA" TargetMode="External"/><Relationship Id="rId331" Type="http://schemas.openxmlformats.org/officeDocument/2006/relationships/hyperlink" Target="https://grupovanti-my.sharepoint.com/:f:/r/personal/g0574626_grupovanti_com/Documents/Nuevo%20SUI/02.%20Seguimiento/CONSECUTIVOS/Regulaci%C3%B3n%202024/02_01_2024_Respuesta%20Radicado%20No.%2020232314992451%20Requerimiento%20de%20informaci%C3%B3n?csf=1&amp;web=1&amp;e=jVgiLq" TargetMode="External"/><Relationship Id="rId352" Type="http://schemas.openxmlformats.org/officeDocument/2006/relationships/hyperlink" Target="../../../../../:f:/r/sites/GerenciadeRegulacin/Shared%20Documents/General/2023/Regulaci%C3%B3n%202024/28_01_2024_Respuesta%20a%20la%20solicitud%20de%20ampliaci%C3%B3n%20de%20informaci%C3%B3n%20sobre%20el%20estudio%20de%20costo-beneficio%20para%20la%20agregaci%C3%B3n%20de%20tramos%20regulados%20del%20SNT.%20Radicado%20CREG%20S2024000975?csf=1&amp;web=1&amp;e=jTcu2U" TargetMode="External"/><Relationship Id="rId373" Type="http://schemas.openxmlformats.org/officeDocument/2006/relationships/hyperlink" Target="Regulaci&#243;n%202024/72_04_2024_Requerimiento%20Calidad%20de%20la%20Informaci&#243;n%20-%20Taxonom&#237;a%20XBRL%202022/73%20-%20Respuesta%20SSPD%20Radicado%2020242301412171.pdf" TargetMode="External"/><Relationship Id="rId394" Type="http://schemas.openxmlformats.org/officeDocument/2006/relationships/hyperlink" Target="../../../../../:f:/r/sites/GerenciadeRegulacin/Shared%20Documents/General/2023/Regulaci%C3%B3n%202024/160_08_2024%20Activaci%C3%B3n%20usuarios%20SICOM?csf=1&amp;web=1&amp;e=zHMm1Y" TargetMode="External"/><Relationship Id="rId408" Type="http://schemas.openxmlformats.org/officeDocument/2006/relationships/hyperlink" Target="../../../../../:f:/r/sites/GerenciadeRegulacin/Shared%20Documents/General/2023/Regulaci%C3%B3n%202024/158_07_2024%20Concepto%20SSPD%20-%20aplicaci%C3%B3n%20del%20factor%20de%20correcci%C3%B3n?csf=1&amp;web=1&amp;e=AEnD9M" TargetMode="External"/><Relationship Id="rId1" Type="http://schemas.openxmlformats.org/officeDocument/2006/relationships/hyperlink" Target="Regulaci&#243;n%202023/01-01-2023%20DP-Jennfer%20Pedraza/DP%20Jennifer%20Pedraza.pdf" TargetMode="External"/><Relationship Id="rId212" Type="http://schemas.openxmlformats.org/officeDocument/2006/relationships/hyperlink" Target="../../../../../:b:/r/sites/GerenciadeRegulacin/Shared%20Documents/General/2023/Regulaci%C3%B3n/26_03_2023_Saldos%20hisotircos%20y%20tarifas/GNCB%20Recuperaci%C3%B3n%20de%20saldos%20acumulados%20de%20la%20Resoluci%C3%B3n%20CREG%20048.pdf?csf=1&amp;web=1&amp;e=rGdutw" TargetMode="External"/><Relationship Id="rId233" Type="http://schemas.openxmlformats.org/officeDocument/2006/relationships/hyperlink" Target="../../../../../:b:/r/sites/GerenciadeRegulacin/Shared%20Documents/General/2023/Regulaci%C3%B3n/136_08_2023_CREG_ComunicacionAuto_%20S2023003347/10784350%20-%200%20SP%20(1).pdf?csf=1&amp;web=1&amp;e=YkAI7K" TargetMode="External"/><Relationship Id="rId254" Type="http://schemas.openxmlformats.org/officeDocument/2006/relationships/hyperlink" Target="../../../../../:b:/r/sites/GerenciadeRegulacin/Shared%20Documents/General/2023/Regulaci%C3%B3n/149_08_2023_Dictamen%20pericial%20con%20intervenci%C3%B3n%20de%20perito%20experto%20para%20expediente/Comunicaci%C3%B3n%20Vanti%20-%20Dictamen%20pericial.pdf?csf=1&amp;web=1&amp;e=XLmYCx" TargetMode="External"/><Relationship Id="rId28" Type="http://schemas.openxmlformats.org/officeDocument/2006/relationships/hyperlink" Target="022-01-2022%20CREG%20Reporte%20Activos%202021_Gasoriente\022-01-2022%20CREG%20Reporte%20Activos%202021_Gasoriente.pdf" TargetMode="External"/><Relationship Id="rId49" Type="http://schemas.openxmlformats.org/officeDocument/2006/relationships/hyperlink" Target="../../../../../:b:/r/sites/GerenciadeRegulacin/Shared%20Documents/General/2023/Regulaci%C3%B3n/49_04_2023_%20GOR_%20026%20-%20Respuesta%20radicado%202023%20_%20000980_Gastos%20AOM_JR/49_04_2023_%20GOR_%20026%20-%20Respuesta%20radicado%202023%20_%20000980_Gastos%20AOM_JR.pdf?csf=1&amp;web=1&amp;e=Kg5kn5" TargetMode="External"/><Relationship Id="rId114" Type="http://schemas.openxmlformats.org/officeDocument/2006/relationships/hyperlink" Target="../../../../../:u:/r/sites/GerenciadeRegulacin/Shared%20Documents/General/2023/Regulaci%C3%B3n/Concurso%20Econ%C3%B3mico/Alcaldia%20Municipal%20de%20Chiquinquira/Chiquin_RV%20Remisi%C3%B3n%20de%20informaci%C3%B3n%20para%20realizaci%C3%B3n%20del%20pago%20del%20aporte%20concurso%20econ%C3%B3mico%20presupuesto%20anual%20de%20gastos%20del%20comit%C3%A9%20permanente%20de%20estratificaci%C3%B3n%20para%20la%20vigencia%202023..msg?csf=1&amp;web=1&amp;e=AJ5gna" TargetMode="External"/><Relationship Id="rId275" Type="http://schemas.openxmlformats.org/officeDocument/2006/relationships/hyperlink" Target="../../../../../:b:/r/sites/GerenciadeRegulacin/Shared%20Documents/General/2023/Regulaci%C3%B3n/MME/202331020089342.pdf?csf=1&amp;web=1&amp;e=4zmYZv" TargetMode="External"/><Relationship Id="rId296" Type="http://schemas.openxmlformats.org/officeDocument/2006/relationships/hyperlink" Target="../../../../../:x:/r/sites/GerenciadeRegulacin/Shared%20Documents/General/2023/Regulaci%C3%B3n/181_11_2023_CREG%20050%20Octubre/Circular050-2021%20Anexo_Gasnacer%20SV%20(1).xlsx?d=w73b96bbde848447e84cfd8388f6d169d&amp;csf=1&amp;web=1&amp;e=4M8yhE" TargetMode="External"/><Relationship Id="rId300" Type="http://schemas.openxmlformats.org/officeDocument/2006/relationships/hyperlink" Target="../../../../../: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Vanti.pdf?csf=1&amp;web=1&amp;e=3KpI8u" TargetMode="External"/><Relationship Id="rId60" Type="http://schemas.openxmlformats.org/officeDocument/2006/relationships/hyperlink" Target="../../../../../:b:/r/sites/GerenciadeRegulacin/Shared%20Documents/General/2023/Regulaci%C3%B3n/53_04_2023_GNCB_Traslado_202331020099602/53_05_2023_RTA%20de%20vanti%20_%2010156048_0.pdf?csf=1&amp;web=1&amp;e=9HZdtV" TargetMode="External"/><Relationship Id="rId81" Type="http://schemas.openxmlformats.org/officeDocument/2006/relationships/hyperlink" Target="../../../../../:b:/r/sites/GerenciadeRegulacin/Shared%20Documents/General/2023/Regulaci%C3%B3n/74_05_2023_Certificaci%C3%B3n%20de%20incidentes%20Gas%20Natural%20del%20Oriente/76_05_2023_Certificaci%C3%B3n%20de%20incidentes%20Gas%20Natural%20del%20Oriente.pdf?csf=1&amp;web=1&amp;e=sDRs9e" TargetMode="External"/><Relationship Id="rId135" Type="http://schemas.openxmlformats.org/officeDocument/2006/relationships/hyperlink" Target="../../../../../:f:/r/sites/GerenciadeRegulacin/Shared%20Documents/General/2023/Regulaci%C3%B3n/58_05_2023_Requerimiento%20de%20informaci%C3%B3n%2020232311184221?csf=1&amp;web=1&amp;e=k0EKyq" TargetMode="External"/><Relationship Id="rId156" Type="http://schemas.openxmlformats.org/officeDocument/2006/relationships/hyperlink" Target="../../../../../:b:/r/sites/GerenciadeRegulacin/Shared%20Documents/General/2023/Regulaci%C3%B3n/15_01_2023_CREG%20Reporte%20Activos%202022_Gasnacer/15_01_2023_CREG%20Reporte%20Activos%202022_Gasnacer.pdf?csf=1&amp;web=1&amp;e=9eDtg0" TargetMode="External"/><Relationship Id="rId177" Type="http://schemas.openxmlformats.org/officeDocument/2006/relationships/hyperlink" Target="../../../../../:b:/r/sites/GerenciadeRegulacin/Shared%20Documents/General/2023/Regulaci%C3%B3n/133_07_2023_CREG_Reporte%20Costos%20Telemetria_E2023014207/Vanti%20Reporte%20circular%20CREG%20056%20de%202023.pdf?csf=1&amp;web=1&amp;e=WN3PTw" TargetMode="External"/><Relationship Id="rId198" Type="http://schemas.openxmlformats.org/officeDocument/2006/relationships/hyperlink" Target="../../../../../:b:/r/sites/GerenciadeRegulacin/Shared%20Documents/General/2023/Regulaci%C3%B3n/03-01-2023%20Citaci%C3%B3n%20para%20notificar%20la%20liquidaci%C3%B3n%20GOR/S2022007122.pdf?csf=1&amp;web=1&amp;e=QmvLzE" TargetMode="External"/><Relationship Id="rId321" Type="http://schemas.openxmlformats.org/officeDocument/2006/relationships/hyperlink" Target="../../../../../:b:/r/sites/GerenciadeRegulacin/Shared%20Documents/General/2023/Regulaci%C3%B3n/159_09_2023_KPGM_GNCR/GNCR_KPMG_2022%20(2).pdf?csf=1&amp;web=1&amp;e=Rw79QA" TargetMode="External"/><Relationship Id="rId342" Type="http://schemas.openxmlformats.org/officeDocument/2006/relationships/hyperlink" Target="Regulaci&#243;n%202024/20_11_2023_Reversi&#243;n_GRC2_Vanti_11_23/GRC2_VANTI_11_23_REVERSION.pdf" TargetMode="External"/><Relationship Id="rId363" Type="http://schemas.openxmlformats.org/officeDocument/2006/relationships/hyperlink" Target="Regulaci&#243;n%202024/12_01_2024_Anexo%2018%20de%20la%20Resoluci&#243;n%20CREG%20202%20de%202015%20GNCR/012%20CREG%20Reporte%20Activos%202023_Gasnacer.pdf" TargetMode="External"/><Relationship Id="rId384" Type="http://schemas.openxmlformats.org/officeDocument/2006/relationships/hyperlink" Target="../../../../../:f:/r/sites/GerenciadeRegulacin/Shared%20Documents/General/2023/Regulaci%C3%B3n%202024/134_07_2024%20REPORTE%20TRIMESTRAL%20DE%20COBERTURAS%20GAS%20COMBUSTIBLE%20POR%20REDES%20TRIMESTRE%20II%202024%20-%20GNCR?csf=1&amp;web=1&amp;e=6WMWSM" TargetMode="External"/><Relationship Id="rId202" Type="http://schemas.openxmlformats.org/officeDocument/2006/relationships/hyperlink" Target="../../../../../:f:/r/sites/GerenciadeRegulacin/Shared%20Documents/General/2023/Regulaci%C3%B3n/21-03-2023%20%20al%2024-03-2023%20Indicadores%20SSPD/24.GNCB?csf=1&amp;web=1&amp;e=rc850w" TargetMode="External"/><Relationship Id="rId223" Type="http://schemas.openxmlformats.org/officeDocument/2006/relationships/hyperlink" Target="../../../../../:f:/r/sites/GerenciadeRegulacin/Shared%20Documents/General/2023/Regulaci%C3%B3n/Circular%20CREG%20050/15%20Agosto?csf=1&amp;web=1&amp;e=7puGQk" TargetMode="External"/><Relationship Id="rId244" Type="http://schemas.openxmlformats.org/officeDocument/2006/relationships/hyperlink" Target="../../../../../:b:/r/sites/GerenciadeRegulacin/Shared%20Documents/General/2023/Regulaci%C3%B3n/137_08_2023_MME_ComentariosRES/Vanti%20Oleoducto%20Multif%C3%A1sico.pdf?csf=1&amp;web=1&amp;e=zkkuTH" TargetMode="External"/><Relationship Id="rId18" Type="http://schemas.openxmlformats.org/officeDocument/2006/relationships/hyperlink" Target="../../../../../:b:/r/sites/GerenciadeRegulacin/Shared%20Documents/General/2023/Regulaci%C3%B3n/41_04_2023_Comunicaci%C3%B3n%20MME%20-%20Certificaci%C3%B3n%20enero%20y%20febrero%202023%20GNCB/41_04_2023_Comunicaci%C3%B3n%20MME%20-%20Certificaci%C3%B3n%20enero%20y%20febrero%202023%20GNCB.pdf?csf=1&amp;web=1&amp;e=UAVUwG" TargetMode="External"/><Relationship Id="rId39" Type="http://schemas.openxmlformats.org/officeDocument/2006/relationships/hyperlink" Target="../../../../../:b:/r/sites/GerenciadeRegulacin/Shared%20Documents/General/2023/Regulaci%C3%B3n/47_04_2023_VANTI_Ajuste%20WACC_Doc_%20sop_702%20001_2023_TD_GN/47_04_2023_VANTI_Ajuste%20WACC_Doc_%20sop_702%20001_2023_TD_GN.pdf?csf=1&amp;web=1&amp;e=kUH934" TargetMode="External"/><Relationship Id="rId265" Type="http://schemas.openxmlformats.org/officeDocument/2006/relationships/hyperlink" Target="../../../../../:b:/r/sites/GerenciadeRegulacin/Shared%20Documents/General/2023/Regulaci%C3%B3n/160_09_2023_KPGM_GNCB/GNCB_KPMG_2023.pdf?csf=1&amp;web=1&amp;e=G8AoYc" TargetMode="External"/><Relationship Id="rId286" Type="http://schemas.openxmlformats.org/officeDocument/2006/relationships/hyperlink" Target="../../../../../:b:/r/sites/GerenciadeRegulacin/Shared%20Documents/General/2023/Regulaci%C3%B3n/178_10_2023_SSPD_Requerimiento%20de%20informaci%C3%B3n%20tarifaria%20periodo%20julio%20y%20agosto%202023/Requerimiento%2020232313862531%20de%20informaci%C3%B3n%20tarifaria%20periodo%20julio%20y%20agosto%202023.pdf?csf=1&amp;web=1&amp;e=Ti4ocv" TargetMode="External"/><Relationship Id="rId50" Type="http://schemas.openxmlformats.org/officeDocument/2006/relationships/hyperlink" Target="../../../../../:b:/r/sites/GerenciadeRegulacin/Shared%20Documents/General/2023/Regulaci%C3%B3n/35_04_23_MME_Traslado%20radicado%20n%C3%BAmero%201-2023-012532%20del%20Ministerio%20de%20Minas%20y%20Energ%C3%ADa/35_04_2023_CREG%20_%20Comuna%204%20Soacha%20S2023001721.pdf?csf=1&amp;web=1&amp;e=WbX2SD" TargetMode="External"/><Relationship Id="rId104" Type="http://schemas.openxmlformats.org/officeDocument/2006/relationships/hyperlink" Target="../../../../../:b:/r/sites/GerenciadeRegulacin/Shared%20Documents/General/2023/Regulaci%C3%B3n/87_05_2023_RTA%20CREG_10335212%20-%200%20SP/87_05_2023_RTA%20CREG_10335212%20-%200%20SP.pdf?csf=1&amp;web=1&amp;e=hEpLuP" TargetMode="External"/><Relationship Id="rId125" Type="http://schemas.openxmlformats.org/officeDocument/2006/relationships/hyperlink" Target="../../../../../:b:/r/sites/GerenciadeRegulacin/Shared%20Documents/General/2023/Regulaci%C3%B3n/19_02_2023_VANTI%20SSPD_Incidencias%20Nuevo%20SUI%20feb%202023/19_02_2023_VANTI%20SSPD_Incidencias%20Nuevo%20SUI%20feb%202023.pdf?csf=1&amp;web=1&amp;e=t1j6yw" TargetMode="External"/><Relationship Id="rId146" Type="http://schemas.openxmlformats.org/officeDocument/2006/relationships/hyperlink" Target="../../../../../:b:/r/sites/GerenciadeRegulacin/Shared%20Documents/General/2023/Regulaci%C3%B3n/104_06_2023_Rta_Vanti%20Evaluaci%C3%B3n%20integral%20SSPD%20Radicado%2020232311630251/104_06_2023_Rta_Vanti%20Evaluaci%C3%B3n%20integral%20SSPD%20Radicado%2020232311630251.pdf?csf=1&amp;web=1&amp;e=14boMG" TargetMode="External"/><Relationship Id="rId167" Type="http://schemas.openxmlformats.org/officeDocument/2006/relationships/hyperlink" Target="../../../../../:b:/r/sites/GerenciadeRegulacin/Shared%20Documents/General/2023/Regulaci%C3%B3n/114_07_2023_VANTI%20CREG_Comunicaci%C3%B3n%20Vanti%20-%20Solicitud%20reprogramaci%C3%B3n%20audiencia%20-%2006-07-2023/114_07_2023_VANTI%20CREG_Comunicaci%C3%B3n%20Vanti%20-%20Solicitud%20reprogramaci%C3%B3n%20audiencia%20-%2006-07-2023.pdf?csf=1&amp;web=1&amp;e=QUmOXD" TargetMode="External"/><Relationship Id="rId188" Type="http://schemas.openxmlformats.org/officeDocument/2006/relationships/hyperlink" Target="../../../../../:b:/r/sites/GerenciadeRegulacin/Shared%20Documents/General/2023/Regulaci%C3%B3n/134_08_2023_SSPD_HONORABLES_SENADORES/GOR/Respuesta%2010831315%20-%200%20Contestaci%C3%B3n%20Radicado%20a%20citar%2020232312595781%20GOR%20SSPD%20(V3).pdf?csf=1&amp;web=1&amp;e=VylzTA" TargetMode="External"/><Relationship Id="rId311" Type="http://schemas.openxmlformats.org/officeDocument/2006/relationships/hyperlink" Target="../../../../../:b:/r/sites/GerenciadeRegulacin/Shared%20Documents/General/2023/Regulaci%C3%B3n/155_08_2024_SICOM_Activacion%20Usuarios/156_08_2023_SICOM_Activaci%C3%B3n%20de%20los%20usuarios%20plataforma%20SICOM%20GOR/156%20-%20Solicitud%20desbloqueo%20de%20usuarios%20SICOM_gor.pdf?csf=1&amp;web=1&amp;e=CmyRLQ" TargetMode="External"/><Relationship Id="rId332" Type="http://schemas.openxmlformats.org/officeDocument/2006/relationships/hyperlink" Target="../../90046339/OneDrive%20-%20Vanti/Nuevo%20SUI/02.%20Seguimiento/CONSECUTIVOS/Regulaci&#243;n%202023/183_12_2023%20Solicitud%20de%20reversi&#243;n%20de%20formato%20T1%20(INFORMACI&#211;N%20ESTACI&#211;N%20REGULACI&#211;N%20Y%20TANQUES%20ALMACENAMIENTO)%20vigencia%202022.&#8239;/Solicitud%20de%20reversi&#243;n%20de%20formato%20T1%20.pdf" TargetMode="External"/><Relationship Id="rId353" Type="http://schemas.openxmlformats.org/officeDocument/2006/relationships/hyperlink" Target="../../../../../:f:/r/sites/GerenciadeRegulacin/Shared%20Documents/General/2023/Regulaci%C3%B3n%202024/36_02_2024_Apuestas%20del%20plan%20energ%C3%A9tico%20nacional?csf=1&amp;web=1&amp;e=8icn4a" TargetMode="External"/><Relationship Id="rId374" Type="http://schemas.openxmlformats.org/officeDocument/2006/relationships/hyperlink" Target="Regulaci&#243;n%202024/73_05_2024_Reiteraci&#243;n%20Solicitud%20de%20informaci&#243;n%20AG8%20&#8211;%2031-%20radicado%202024EE0073092%20Auditoria%20cumplimiento%20subsidios%20GAS%20MME/Respuesta%20radicado%202024EE0073092_vf.pdf" TargetMode="External"/><Relationship Id="rId395" Type="http://schemas.openxmlformats.org/officeDocument/2006/relationships/hyperlink" Target="../../../../../:f:/r/sites/GerenciadeRegulacin/Shared%20Documents/General/2023/Regulaci%C3%B3n%202024/161_08_2024%20Activaci%C3%B3n%20usuarios%20SICOM?csf=1&amp;web=1&amp;e=zHMm1Y" TargetMode="External"/><Relationship Id="rId409" Type="http://schemas.openxmlformats.org/officeDocument/2006/relationships/hyperlink" Target="../../../../../:f:/r/sites/GerenciadeRegulacin/Shared%20Documents/General/2023/Regulaci%C3%B3n%202024/159_08_2024%20REQ%2020242312984171%20-%20Respuesta%20Personeria%20Lebrija%20(Santander)?csf=1&amp;web=1&amp;e=TMrV0U" TargetMode="External"/><Relationship Id="rId71" Type="http://schemas.openxmlformats.org/officeDocument/2006/relationships/hyperlink" Target="../../../../../:u:/r/sites/GerenciadeRegulacin/Shared%20Documents/General/2023/Regulaci%C3%B3n/66_05_2023_BANCOLOMBIA_GAS%20NATURAL%20S.A.%20%20E.S.P/66_05_2023_REENVIO_RV%20SOLICITUD%20PROCEDIMIENTO%20PARA%20EL%20MANEJO%20DE%20TITULOS%20NO%20LISTADOS%20EN%20EL%20RNVE.msg?csf=1&amp;web=1&amp;e=hShnV9" TargetMode="External"/><Relationship Id="rId92" Type="http://schemas.openxmlformats.org/officeDocument/2006/relationships/hyperlink" Target="../../../../../:b:/r/sites/GerenciadeRegulacin/Shared%20Documents/General/2023/Regulaci%C3%B3n/48_04_2023_VANTI_%20DERECHO%20DE%20PETICION%20EMPRESAS%20SERVICIOS%20PUBLICOS%20MALLA%20VIAL%20venti%20307/48_05_2023_Respuesta%2010283702%20-%200%20Concejo%20de%20Bogot%C3%A1-JAvier%20Alejandro%20Ospina%20R.pdf?csf=1&amp;web=1&amp;e=2JugVi" TargetMode="External"/><Relationship Id="rId213" Type="http://schemas.openxmlformats.org/officeDocument/2006/relationships/hyperlink" Target="../../../../../:b:/r/sites/GerenciadeRegulacin/Shared%20Documents/General/2023/Regulaci%C3%B3n/Disponibilidad%20de%20servicio%20barrios%20Bucaramanga/10841886_0.pdf?csf=1&amp;web=1&amp;e=p6SS2T" TargetMode="External"/><Relationship Id="rId234" Type="http://schemas.openxmlformats.org/officeDocument/2006/relationships/hyperlink" Target="../../../../../:b:/r/sites/GerenciadeRegulacin/Shared%20Documents/General/2023/Regulaci%C3%B3n/Comentarios/Comentarios_sobre_la_Resolucion_CREG_705_002_de_2023___Grupo_Vanti_1689779945543.pdf?csf=1&amp;web=1&amp;e=tnwuFc" TargetMode="External"/><Relationship Id="rId2" Type="http://schemas.openxmlformats.org/officeDocument/2006/relationships/hyperlink" Target="../../../../../:b:/r/sites/GerenciadeRegulacin/Shared%20Documents/General/2023/Regulaci%C3%B3n/18/18-Respuesta%20SSPD%20Radicado%2020232310504851%20.pdf?csf=1&amp;web=1&amp;e=82XnXb" TargetMode="External"/><Relationship Id="rId29" Type="http://schemas.openxmlformats.org/officeDocument/2006/relationships/hyperlink" Target="021-01-2022%20CREG%20Reporte%20Activos%202021_Vanti\021-01-2022%20CREG%20Reporte%20Activos%202021_Vanti.pdf" TargetMode="External"/><Relationship Id="rId255" Type="http://schemas.openxmlformats.org/officeDocument/2006/relationships/hyperlink" Target="../../../../../:f:/r/sites/GerenciadeRegulacin/Shared%20Documents/General/2023/Regulaci%C3%B3n/149_08_2023_Dictamen%20pericial%20con%20intervenci%C3%B3n%20de%20perito%20experto%20para%20expediente?csf=1&amp;web=1&amp;e=v9aQQd" TargetMode="External"/><Relationship Id="rId276" Type="http://schemas.openxmlformats.org/officeDocument/2006/relationships/hyperlink" Target="../../../../../:b:/r/sites/GerenciadeRegulacin/Shared%20Documents/General/2023/Regulaci%C3%B3n/170_10_2023_CREG_CIRCULAR%20No.%20073%20de%202023-%20REPORTE%20DE%20INFORMACI%C3%93N%20DE%20AOM%20PARA%20LA%20REGULACI%C3%93N%20VIGENCIA%202022%20VANTI/170%20-%20Respuesta%20Circular%20CREG%20073-2023%20AOM%20vigencia%202022_vanti.pdf?csf=1&amp;web=1&amp;e=ubgtgI" TargetMode="External"/><Relationship Id="rId297" Type="http://schemas.openxmlformats.org/officeDocument/2006/relationships/hyperlink" Target="../../../../../:f:/r/sites/GerenciadeRegulacin/Shared%20Documents/General/2023/Regulaci%C3%B3n/175_10_2023_Aporte%20de%20dictamen%20pericial%20con%20intervenci%C3%B3n%20de%20perito%20experto%20para%20expediente%20tarifario%20CREG?csf=1&amp;web=1&amp;e=rvs85c" TargetMode="External"/><Relationship Id="rId40" Type="http://schemas.openxmlformats.org/officeDocument/2006/relationships/hyperlink" Target="../../../../../:b:/r/sites/GerenciadeRegulacin/Shared%20Documents/General/2023/Regulaci%C3%B3n/53_04_2023_GNCB_Traslado_202331020099602/53_04_2023_GNCB_Traslado_202331020099602.pdf?csf=1&amp;web=1&amp;e=bMdihd" TargetMode="External"/><Relationship Id="rId115" Type="http://schemas.openxmlformats.org/officeDocument/2006/relationships/hyperlink" Target="../../../../../:b:/r/sites/GerenciadeRegulacin/Shared%20Documents/General/2023/Regulaci%C3%B3n/90_Caso%20Creg%20Rta%20Pte/90_06_2023_Vanti_Creg_Reiteraci%C3%B3n%20RTA%20Radicado%20CREG%20S2023002686.pdf?csf=1&amp;web=1&amp;e=g2jc30" TargetMode="External"/><Relationship Id="rId136" Type="http://schemas.openxmlformats.org/officeDocument/2006/relationships/hyperlink" Target="../../../../../:b:/r/sites/GerenciadeRegulacin/Shared%20Documents/General/2023/Regulaci%C3%B3n/39_04_2023_Comunicaci%C3%B3n%20MME%20-%20Diferencia%20Conciliacion%204Q%202022%20-%20Giros_JR_%20VANTI/39_04_2023_RTA_Comunicaci%C3%B3n%20MME%20-%20Diferencia%20Conciliacion%204Q%202022%20-%20Giros_JR_%20VANTI.pdf?csf=1&amp;web=1&amp;e=sfv35Y" TargetMode="External"/><Relationship Id="rId157" Type="http://schemas.openxmlformats.org/officeDocument/2006/relationships/hyperlink" Target="../../../../../:b:/r/sites/GerenciadeRegulacin/Shared%20Documents/General/2023/Regulaci%C3%B3n/14_01_2023_CREG%20Reporte%20Activos%202022_Cundi/14_01_2023_CREG%20Reporte%20Activos%202022_Cundi.pdf?csf=1&amp;web=1&amp;e=smudw0" TargetMode="External"/><Relationship Id="rId178" Type="http://schemas.openxmlformats.org/officeDocument/2006/relationships/hyperlink" Target="../../../../../:b:/r/sites/GerenciadeRegulacin/Shared%20Documents/General/2023/Regulaci%C3%B3n/131_07_2023_MME_Comentarios%20Modificacion%20Decreto/Decreto%20Mecanismo%20Diferencial%20de%20Estabilizacio%CC%81n%20de%20precios%20de%20la%20Gasolina%20Motor%20Corriente%20(GMC)%20y%20Aceite%20Combustible%20para%20Motores%20(ACPM).pdf?csf=1&amp;web=1&amp;e=dnaVwG" TargetMode="External"/><Relationship Id="rId301" Type="http://schemas.openxmlformats.org/officeDocument/2006/relationships/hyperlink" Target="../../../../../: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NCR.pdf?csf=1&amp;web=1&amp;e=LmDN2R" TargetMode="External"/><Relationship Id="rId322"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VANTI.eml?csf=1&amp;web=1&amp;e=7fUUtc" TargetMode="External"/><Relationship Id="rId343" Type="http://schemas.openxmlformats.org/officeDocument/2006/relationships/hyperlink" Target="Regulaci&#243;n%202024/21_11_2023_Reversi&#243;n_GRC2_GNCB_11_23/GRC2_GNCB_11_23_REVERSION.pdf" TargetMode="External"/><Relationship Id="rId364" Type="http://schemas.openxmlformats.org/officeDocument/2006/relationships/hyperlink" Target="Regulaci&#243;n%202024/11_01_2024_Anexo%2018%20de%20la%20Resoluci&#243;n%20CREG%20202%20de%202013%20GNCB/011%20CREG%20Reporte%20Activos%202023-GNCB.pdf" TargetMode="External"/><Relationship Id="rId61" Type="http://schemas.openxmlformats.org/officeDocument/2006/relationships/hyperlink" Target="../../../../../:x:/r/sites/GerenciadeRegulacin/Shared%20Documents/General/2023/Regulaci%C3%B3n/64_05_2023_KPMG_Mesas%20de%20Ayuda%20Requerimiento/64_05_2023_KPMG_Mesas%20de%20Ayuda%20Requerimiento.xlsx?d=wb6dffa1a6d2249b182a516e6775e4750&amp;csf=1&amp;web=1&amp;e=xmi1QX" TargetMode="External"/><Relationship Id="rId82" Type="http://schemas.openxmlformats.org/officeDocument/2006/relationships/hyperlink" Target="../../../../../:b:/r/sites/GerenciadeRegulacin/Shared%20Documents/General/2023/Regulaci%C3%B3n/68_05_2023_SSPD%20VANTI_20232311639401/68_05_2023_VANTI_Solicitud%20Ampliaci%C3%B3n%20Plazo%20Req%2020232311639401.pdf?csf=1&amp;web=1&amp;e=z8kbh1" TargetMode="External"/><Relationship Id="rId199" Type="http://schemas.openxmlformats.org/officeDocument/2006/relationships/hyperlink" Target="../../../../../:b:/r/sites/GerenciadeRegulacin/Shared%20Documents/General/2023/Regulaci%C3%B3n/10-01-2023%20%20Tercero%20interesado%20actuaci%C3%B3n%20administrativa%20%20Promigas%20S.A.%20E.S.P/2.%20Solicitud%20reconocimiento%20tercero%20Vanti%20-%20Promigas%20-10-01-2022.pdf?csf=1&amp;web=1&amp;e=gnhaxT" TargetMode="External"/><Relationship Id="rId203" Type="http://schemas.openxmlformats.org/officeDocument/2006/relationships/hyperlink" Target="../../../../../:f:/r/sites/GerenciadeRegulacin/Shared%20Documents/General/2023/Regulaci%C3%B3n/29_03_2023_GNCR-Respuesta%20Requerimiento%20de%20informaci%C3%B3n%20sobre%20la%20Revisi%C3%B3n%20Peri%C3%B3dica%20Obligatoria?csf=1&amp;web=1&amp;e=kPyTNz" TargetMode="External"/><Relationship Id="rId385" Type="http://schemas.openxmlformats.org/officeDocument/2006/relationships/hyperlink" Target="../../../../../:f:/r/sites/GerenciadeRegulacin/Shared%20Documents/General/2023/Regulaci%C3%B3n%202024/135_07_2024%20REPORTE%20TRIMESTRAL%20DE%20COBERTURAS%20GAS%20COMBUSTIBLE%20POR%20REDES%20TRIMESTRE%20II%202024%20-%20GOR?csf=1&amp;web=1&amp;e=GRVeQL" TargetMode="External"/><Relationship Id="rId19" Type="http://schemas.openxmlformats.org/officeDocument/2006/relationships/hyperlink" Target="../../../../../:b:/r/sites/GerenciadeRegulacin/Shared%20Documents/General/2023/Regulaci%C3%B3n/43_04_2023_Comunicaci%C3%B3n%20MME%20-%20Certificaci%C3%B3n%20enero%20y%20febrero%202023%20GOR/43_04_2023_Comunicaci%C3%B3n%20MME%20-%20Certificaci%C3%B3n%20enero%20y%20febrero%202023%20GOR.pdf?csf=1&amp;web=1&amp;e=qkXLUM" TargetMode="External"/><Relationship Id="rId224" Type="http://schemas.openxmlformats.org/officeDocument/2006/relationships/hyperlink" Target="../../../../../:b:/r/sites/GerenciadeRegulacin/Shared%20Documents/General/2023/Regulaci%C3%B3n/142_08_2023_Requerimiento%20-%20Radicado%20SSPD%20No.%2020235290452932/142%20Respuesta%20a%20Radicado%20No.%2020232312758571%20SSDP%20GOR_rev%20OM-JUR%20V1.pdf?csf=1&amp;web=1&amp;e=TBaLLq" TargetMode="External"/><Relationship Id="rId245" Type="http://schemas.openxmlformats.org/officeDocument/2006/relationships/hyperlink" Target="../../../../../:b:/r/sites/GerenciadeRegulacin/Shared%20Documents/General/2023/Regulaci%C3%B3n/139_08_2023_SolicitudPlazo/Solicitud%20plazo.pdf?csf=1&amp;web=1&amp;e=lzLiwc" TargetMode="External"/><Relationship Id="rId266" Type="http://schemas.openxmlformats.org/officeDocument/2006/relationships/hyperlink" Target="../../../../../:b:/r/sites/GerenciadeRegulacin/Shared%20Documents/General/2023/Regulaci%C3%B3n/159_09_2023_KPGM_GNCR/GNCR_KPMG_2022%20(2).pdf?csf=1&amp;web=1&amp;e=Rw79QA" TargetMode="External"/><Relationship Id="rId287" Type="http://schemas.openxmlformats.org/officeDocument/2006/relationships/hyperlink" Target="../../../../../:f:/r/sites/GerenciadeRegulacin/Shared%20Documents/General/2023/Regulaci%C3%B3n/178_10_2023_SSPD_Requerimiento%20de%20informaci%C3%B3n%20tarifaria%20periodo%20julio%20y%20agosto%202023?csf=1&amp;web=1&amp;e=mpXHrv" TargetMode="External"/><Relationship Id="rId410" Type="http://schemas.openxmlformats.org/officeDocument/2006/relationships/printerSettings" Target="../printerSettings/printerSettings2.bin"/><Relationship Id="rId30" Type="http://schemas.openxmlformats.org/officeDocument/2006/relationships/hyperlink" Target="028-2022%20Vanti%20CREG%20Solicitud%20de%20tercero%20interesado-%20099-2021\028-2022%20Vanti%20CREG%20Solicitud%20de%20tercero%20interesado-%20099-2021.pdf" TargetMode="External"/><Relationship Id="rId105" Type="http://schemas.openxmlformats.org/officeDocument/2006/relationships/hyperlink" Target="../../../../../:b:/r/sites/GerenciadeRegulacin/Shared%20Documents/General/2023/Regulaci%C3%B3n/87_05_2023_RTA%20CREG_10335212%20-%200%20SP/87_05_2023_Anexo%20CREG_10335212%20%20-%200%20RE.pdf?csf=1&amp;web=1&amp;e=Lv5eMX" TargetMode="External"/><Relationship Id="rId126" Type="http://schemas.openxmlformats.org/officeDocument/2006/relationships/hyperlink" Target="../../../../../:b:/r/sites/GerenciadeRegulacin/Shared%20Documents/General/2023/Regulaci%C3%B3n/19_02_2023_VANTI%20SSPD_Incidencias%20Nuevo%20SUI%20feb%202023/19_06_2023_SSPD%20VANTI_RTA_20232031563011.pdf?csf=1&amp;web=1&amp;e=yr8Wzx" TargetMode="External"/><Relationship Id="rId147" Type="http://schemas.openxmlformats.org/officeDocument/2006/relationships/hyperlink" Target="../../../../../:b:/r/sites/GerenciadeRegulacin/Shared%20Documents/General/2023/Regulaci%C3%B3n/80_05_2023_CREG_Mantenimiento_Reporte%20Tarifas/80_05_2023_CREG_Mantenimiento_Reporte%20Tarifas.pdf?csf=1&amp;web=1&amp;e=luR4Vq" TargetMode="External"/><Relationship Id="rId168" Type="http://schemas.openxmlformats.org/officeDocument/2006/relationships/hyperlink" Target="../../../../../:b:/r/sites/GerenciadeRegulacin/Shared%20Documents/General/2023/Regulaci%C3%B3n/114_07_2023_VANTI%20CREG_Comunicaci%C3%B3n%20Vanti%20-%20Solicitud%20reprogramaci%C3%B3n%20audiencia%20-%2006-07-2023/114_07_2023_Solicitud_reprogramacion_audiencia_Vanti_S.A._E.S.P._1688739951632.pdf?csf=1&amp;web=1&amp;e=g02Xjq" TargetMode="External"/><Relationship Id="rId312" Type="http://schemas.openxmlformats.org/officeDocument/2006/relationships/hyperlink" Target="../../../../../:b:/r/sites/GerenciadeRegulacin/Shared%20Documents/General/2023/Regulaci%C3%B3n/154_09_2023_CREG_Solicitud%20acceso%20expediente%20GNCB/Comunicaci%C3%B3n%20CREG%20-%20Solicitud%20acceso%20expediente%20GNCB%20-%2004-09-2023.pdf?csf=1&amp;web=1&amp;e=i1QW3V" TargetMode="External"/><Relationship Id="rId333" Type="http://schemas.openxmlformats.org/officeDocument/2006/relationships/hyperlink" Target="../../90046339/OneDrive%20-%20Vanti/Nuevo%20SUI/02.%20Seguimiento/CONSECUTIVOS/Regulaci&#243;n%202023/183_12_2023%20Solicitud%20de%20reversi&#243;n%20de%20formato%20T1%20(INFORMACI&#211;N%20ESTACI&#211;N%20REGULACI&#211;N%20Y%20TANQUES%20ALMACENAMIENTO)%20vigencia%202022.&#8239;/T1_GN_DIC_2022_AC.csv" TargetMode="External"/><Relationship Id="rId354" Type="http://schemas.openxmlformats.org/officeDocument/2006/relationships/hyperlink" Target="../../../../../:f:/r/sites/GerenciadeRegulacin/Shared%20Documents/General/2023/Regulaci%C3%B3n%202024/Plan%20Abastecimiento%20Gas%20Natural%202023-2038?csf=1&amp;web=1&amp;e=fCJuCu" TargetMode="External"/><Relationship Id="rId51" Type="http://schemas.openxmlformats.org/officeDocument/2006/relationships/hyperlink" Target="../../../../../:b:/r/sites/GerenciadeRegulacin/Shared%20Documents/General/2023/Regulaci%C3%B3n/35_04_23_MME_Traslado%20radicado%20n%C3%BAmero%201-2023-012532%20del%20Ministerio%20de%20Minas%20y%20Energ%C3%ADa/Rta%20a%20la%20SSPD/35_04_2023_%20-%20Respuesta%20requerimiento%20a%20la%20SSPD%2020232311249921.pdf?csf=1&amp;web=1&amp;e=5fY6Rp" TargetMode="External"/><Relationship Id="rId72" Type="http://schemas.openxmlformats.org/officeDocument/2006/relationships/hyperlink" Target="../../../../../:b:/r/sites/GerenciadeRegulacin/Shared%20Documents/General/2023/Regulaci%C3%B3n/Concurso%20Econ%C3%B3mico/Municipio%20de%20Duitama/05_2023_Duitama_CONCURSO%20ECONOMICO.pdf?csf=1&amp;web=1&amp;e=9oLicL" TargetMode="External"/><Relationship Id="rId93" Type="http://schemas.openxmlformats.org/officeDocument/2006/relationships/hyperlink" Target="../../../../../:b:/r/sites/GerenciadeRegulacin/Shared%20Documents/General/2023/Regulaci%C3%B3n/34_04_23_Transmetano_Comunicaci%C3%B3n%20CREG-%20Solicitud%20Acceso%20Expediente%20Transmetano%20-%2011-04-2023_JR/34_05_2023_Anexo_RV__Solicitud_Acceso_expediente_2022___0063_1681488682873.pdf?csf=1&amp;web=1&amp;e=WPLknR" TargetMode="External"/><Relationship Id="rId189" Type="http://schemas.openxmlformats.org/officeDocument/2006/relationships/hyperlink" Target="../../../../../:f:/r/sites/GerenciadeRegulacin/Shared%20Documents/General/2023/Regulaci%C3%B3n/134_08_2023_SSPD_HONORABLES_SENADORES/GOR?csf=1&amp;web=1&amp;e=PgEU1t" TargetMode="External"/><Relationship Id="rId375" Type="http://schemas.openxmlformats.org/officeDocument/2006/relationships/hyperlink" Target="Regulaci&#243;n%202024/78_05_2024_Respuesta%20a%20los%20puntos%20e%20la%20mesa%20de%20trabajo%20SSPD/78-Respuesta%20compromisos%20mesa%20de%20trabajo%2006%20de%20mayo%20SSPD_vf_.pdf" TargetMode="External"/><Relationship Id="rId396" Type="http://schemas.openxmlformats.org/officeDocument/2006/relationships/hyperlink" Target="../../../../../:f:/r/sites/GerenciadeRegulacin/Shared%20Documents/General/2023/Regulaci%C3%B3n%202024/144_07_2024%20Comentarios%20al%20proyecto%20de%20Resoluci%C3%B3n%20702%20008%20DE%202024%20%E2%80%9CPor%20la%20cual%20se%20ajusta%20y%20se%20modifica%20la%20Resoluci%C3%B3n%20102%20008%20de%202022%E2%80%9D?csf=1&amp;web=1&amp;e=pmJtrw" TargetMode="External"/><Relationship Id="rId3" Type="http://schemas.openxmlformats.org/officeDocument/2006/relationships/hyperlink" Target="../../../../../:b:/r/sites/GerenciadeRegulacin/Shared%20Documents/General/2023/Regulaci%C3%B3n/SSPD%20MARZO/VANTI/Vanti%20Recuperaci%C3%B3n%20de%20saldos%20acumulados%20de%20la%20Resoluci%C3%B3n%20CREG%20048.pdf?csf=1&amp;web=1&amp;e=Pczgcq" TargetMode="External"/><Relationship Id="rId214" Type="http://schemas.openxmlformats.org/officeDocument/2006/relationships/hyperlink" Target="../../../../../:w:/r/sites/GerenciadeRegulacin/Shared%20Documents/General/2023/Regulaci%C3%B3n/143_08_2023_Requerimiento%20de%20informaci%C3%B3n%20tarifaria%20periodo%20junio%202023,%20copia%20de%20las%20facturas/143-Respuesta%20SSPD%20Radicado%2020232312522141%20.docx?d=w76e111d006f949228d4f296c6e0e55b6&amp;csf=1&amp;web=1&amp;e=2dfgEy" TargetMode="External"/><Relationship Id="rId235" Type="http://schemas.openxmlformats.org/officeDocument/2006/relationships/hyperlink" Target="../../../../../:b:/r/sites/GerenciadeRegulacin/Shared%20Documents/General/2023/Regulaci%C3%B3n/Comentarios/Comentarios_Grupo_Vanti_a_la_Resolucion_CREG_705_002_de_2023_1689779981636.pdf?csf=1&amp;web=1&amp;e=eEfF1l" TargetMode="External"/><Relationship Id="rId256" Type="http://schemas.openxmlformats.org/officeDocument/2006/relationships/hyperlink" Target="../../../../../:b:/r/sites/GerenciadeRegulacin/Shared%20Documents/General/2023/Regulaci%C3%B3n/155_08_2024_SICOM_Activacion%20Usuarios/154_08_2023_SICOM_Activaci%C3%B3n%20de%20los%20usuarios%20plataforma%20SICOM%20GNCB/154%20-%20Solicitud%20desbloqueo%20de%20usuarios%20SICOM_cundi.pdf?csf=1&amp;web=1&amp;e=P0hIw0" TargetMode="External"/><Relationship Id="rId277" Type="http://schemas.openxmlformats.org/officeDocument/2006/relationships/hyperlink" Target="../../../../../:b:/r/sites/GerenciadeRegulacin/Shared%20Documents/General/2023/Regulaci%C3%B3n/171_10_2023_CREG_CIRCULAR%20No.%20073%20de%202023-%20REPORTE%20DE%20INFORMACI%C3%93N%20DE%20AOM%20PARA%20LA%20REGULACI%C3%93N%20VIGENCIA%202022%20GNCB/171%20-%20Respuesta%20Circular%20CREG%20073-2023%20AOM%20vigencia%202022_cundi.pdf?csf=1&amp;web=1&amp;e=QEGrM5" TargetMode="External"/><Relationship Id="rId298" Type="http://schemas.openxmlformats.org/officeDocument/2006/relationships/hyperlink" Target="../../../../../:f:/r/sites/GerenciadeRegulacin/Shared%20Documents/General/2023/Regulaci%C3%B3n/175_10_2023_Aporte%20de%20dictamen%20pericial%20con%20intervenci%C3%B3n%20de%20perito%20experto%20para%20expediente%20tarifario%20CREG?csf=1&amp;web=1&amp;e=dwLST2" TargetMode="External"/><Relationship Id="rId400" Type="http://schemas.openxmlformats.org/officeDocument/2006/relationships/hyperlink" Target="../../../../../:f:/r/sites/GerenciadeRegulacin/Shared%20Documents/General/2023/Regulaci%C3%B3n%202024/150_08_2024%20Solicitud%20Rerversi%C3%B3n%20GRCS1%20Vanti%20Enero,%20Marzo,%20Abril,%20Mayo%20y%20Julio%202023?csf=1&amp;web=1&amp;e=ZEKfrn" TargetMode="External"/><Relationship Id="rId116" Type="http://schemas.openxmlformats.org/officeDocument/2006/relationships/hyperlink" Target="../../../../../:b:/r/sites/GerenciadeRegulacin/Shared%20Documents/General/2023/Regulaci%C3%B3n/94_06_2023_VantiCREG_Informacion%20Resolucion%20CREG%20137%20de%202013%20Cundi%20(003)/94_06_2023_GNCB_CREG_Informacion%20Resolucion%20CREG%20137%20de%202013.pdf?csf=1&amp;web=1&amp;e=WrTViJ" TargetMode="External"/><Relationship Id="rId137" Type="http://schemas.openxmlformats.org/officeDocument/2006/relationships/hyperlink" Target="../../../../../:w:/r/sites/GerenciadeRegulacin/Shared%20Documents/General/2023/Regulaci%C3%B3n/47_04_2023_VANTI_Ajuste%20WACC_Doc_%20sop_702%20001_2023_TD_GN/47_04_2023_Vanti_%20CREG%20702%20001_2023.docx?d=wa1ca705588194568bd242be80e6b533e&amp;csf=1&amp;web=1&amp;e=6EgZO9" TargetMode="External"/><Relationship Id="rId158" Type="http://schemas.openxmlformats.org/officeDocument/2006/relationships/hyperlink" Target="../../../../../:b:/r/sites/GerenciadeRegulacin/Shared%20Documents/General/2023/Regulaci%C3%B3n/13_01_2023_CREG%20Reporte%20Activos%202022_Gasoriente/13_01_2023_CREG%20Reporte%20Activos%202022_Gasoriente.pdf?csf=1&amp;web=1&amp;e=Z6U4aQ" TargetMode="External"/><Relationship Id="rId302" Type="http://schemas.openxmlformats.org/officeDocument/2006/relationships/hyperlink" Target="../../../../../: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OR.pdf?csf=1&amp;web=1&amp;e=ehcZth" TargetMode="External"/><Relationship Id="rId323"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GAS%20NATURAL%20CUNDIBOYACENSE.eml?csf=1&amp;web=1&amp;e=Tunv8W" TargetMode="External"/><Relationship Id="rId344" Type="http://schemas.openxmlformats.org/officeDocument/2006/relationships/hyperlink" Target="Regulaci&#243;n%202024/22_11_2023_Reversi&#243;n_GRC2_GOR_11_23/GRC2_GOR_11_23_REVERSION.pdf" TargetMode="External"/><Relationship Id="rId20" Type="http://schemas.openxmlformats.org/officeDocument/2006/relationships/hyperlink" Target="../../../../../:w:/r/sites/GerenciadeRegulacin/Shared%20Documents/General/2023/Regulaci%C3%B3n/44_04_2023_DPeticion%20%20Dayana%20a%20Vanti/44_04_2023_DPeticion%20%20Dayana%20a%20Vanti.docx?d=wf64d574308464c4f97c2e68a03e26d20&amp;csf=1&amp;web=1&amp;e=9ME9or" TargetMode="External"/><Relationship Id="rId41" Type="http://schemas.openxmlformats.org/officeDocument/2006/relationships/hyperlink" Target="../../../../../:b:/r/sites/GerenciadeRegulacin/Shared%20Documents/General/2023/Regulaci%C3%B3n/53_04_2023_GNCB_Traslado_202331020099602/53_04_2023_Anexo_Traslado_1202331020099602_00002.pdf?csf=1&amp;web=1&amp;e=7cX6uf" TargetMode="External"/><Relationship Id="rId62" Type="http://schemas.openxmlformats.org/officeDocument/2006/relationships/hyperlink" Target="../../../../../:u:/r/sites/GerenciadeRegulacin/Shared%20Documents/General/2023/Regulaci%C3%B3n/64_05_2023_KPMG_Mesas%20de%20Ayuda%20Requerimiento/64_05_2023_RTA_RV%20Requerimiento%20de%20informaci%C3%B3n%20AEGR%20grupo%20Vanti%202.25.msg?csf=1&amp;web=1&amp;e=oyNlvu" TargetMode="External"/><Relationship Id="rId83" Type="http://schemas.openxmlformats.org/officeDocument/2006/relationships/hyperlink" Target="../../../../../:b:/r/sites/GerenciadeRegulacin/Shared%20Documents/General/2023/Regulaci%C3%B3n/69_05_2023_SSPD%20GOR__20232311640301/69_05_2023_GOR_Solicitud%20Ampliaci%C3%B3n%20Plazo%20Requerimiento%20de%20informaci%C3%B3n%20%E2%80%93%20Resoluci%C3%B3n%20CREG%20033%20de%202015%2020232311640301.pdf?csf=1&amp;web=1&amp;e=pwOtCo" TargetMode="External"/><Relationship Id="rId179" Type="http://schemas.openxmlformats.org/officeDocument/2006/relationships/hyperlink" Target="../../../../../:b:/r/sites/GerenciadeRegulacin/Shared%20Documents/General/2023/Regulaci%C3%B3n/135_01_2023_SSPD_ComentariosTarifaCE10154500/135-08-2023%20Comentarios%20proyecto%20Resol.%20%20tarifa%20contribuci%C3%B3n%20especial%202023-%20SSPD.pdf?csf=1&amp;web=1&amp;e=muSNvz" TargetMode="External"/><Relationship Id="rId365" Type="http://schemas.openxmlformats.org/officeDocument/2006/relationships/hyperlink" Target="Regulaci&#243;n%202024/12_01_2024_Anexo%2018%20de%20la%20Resoluci&#243;n%20CREG%20202%20de%202015%20GNCR/012%20CREG%20Reporte%20Activos%202023_Gasnacer.pdf" TargetMode="External"/><Relationship Id="rId386" Type="http://schemas.openxmlformats.org/officeDocument/2006/relationships/hyperlink" Target="../../../../../:f:/r/sites/GerenciadeRegulacin/Shared%20Documents/General/2023/Regulaci%C3%B3n%202024/136_07_2024%20REPORTE%20TRIMESTRAL%20DE%20COBERTURAS%20GAS%20COMBUSTIBLE%20POR%20REDES%20TRIMESTRE%20II%202024%20-%20GNCB?csf=1&amp;web=1&amp;e=qQ8a9r" TargetMode="External"/><Relationship Id="rId190" Type="http://schemas.openxmlformats.org/officeDocument/2006/relationships/hyperlink" Target="../../../../../:b:/r/sites/GerenciadeRegulacin/Shared%20Documents/General/2023/Regulaci%C3%B3n/134_08_2023_SSPD_HONORABLES_SENADORES/GNCR/Respuesta%2010831575%20-%200%20Contestaci%C3%B3n%20Radicado%20a%20citar%2020232312595591%20GNC%20SSPD%20(V3).pdf?csf=1&amp;web=1&amp;e=mYOQX5" TargetMode="External"/><Relationship Id="rId204" Type="http://schemas.openxmlformats.org/officeDocument/2006/relationships/hyperlink" Target="../../../../../:f:/r/sites/GerenciadeRegulacin/Shared%20Documents/General/2023/Regulaci%C3%B3n/29_03_2023_GNCR-Respuesta%20Requerimiento%20de%20informaci%C3%B3n%20sobre%20la%20Revisi%C3%B3n%20Peri%C3%B3dica%20Obligatoria?csf=1&amp;web=1&amp;e=kPyTNz" TargetMode="External"/><Relationship Id="rId225" Type="http://schemas.openxmlformats.org/officeDocument/2006/relationships/hyperlink" Target="../../../../../:b:/r/sites/GerenciadeRegulacin/Shared%20Documents/General/2023/Regulaci%C3%B3n/145_08_2023_%20Respuesta%20Radicado%20No.%2020232312961041.%20Ingresos%20por%20concepto%20de%20reconexi%C3%B3n/20232312961041_230817_085611%20(1).pdf?csf=1&amp;web=1&amp;e=JwmbAX" TargetMode="External"/><Relationship Id="rId246" Type="http://schemas.openxmlformats.org/officeDocument/2006/relationships/hyperlink" Target="../../../../../:f:/r/sites/GerenciadeRegulacin/Shared%20Documents/General/2023/Regulaci%C3%B3n/NATURGAS?csf=1&amp;web=1&amp;e=s1mYQP" TargetMode="External"/><Relationship Id="rId267" Type="http://schemas.openxmlformats.org/officeDocument/2006/relationships/hyperlink" Target="../../../../../:f:/r/sites/GerenciadeRegulacin/Shared%20Documents/General/2023/Regulaci%C3%B3n/CONCURSO%20ECONOMICO%20TUNJA?csf=1&amp;web=1&amp;e=YipRSe" TargetMode="External"/><Relationship Id="rId288" Type="http://schemas.openxmlformats.org/officeDocument/2006/relationships/hyperlink" Target="../../../../../:x:/r/sites/GerenciadeRegulacin/Shared%20Documents/General/2023/Regulaci%C3%B3n/181_11_2023_CREG%20050%20Octubre/Circular050-2021%20Anexo_Barranca%20SV%20(1).xlsx?d=wbd0e8dc915814054b99c6555846f4730&amp;csf=1&amp;web=1&amp;e=bScfPo" TargetMode="External"/><Relationship Id="rId411" Type="http://schemas.openxmlformats.org/officeDocument/2006/relationships/vmlDrawing" Target="../drawings/vmlDrawing1.vml"/><Relationship Id="rId106" Type="http://schemas.openxmlformats.org/officeDocument/2006/relationships/hyperlink" Target="../../../../../:b:/r/sites/GerenciadeRegulacin/Shared%20Documents/General/2023/Regulaci%C3%B3n/33_04_23_Promigas_Comunicaci%C3%B3n%20CREG-%20Solicitud%20Acceso%20Expediente%20Promigas%20-%2011-04-2023_JR/33_05_2023_Promigas_comunicaci%C3%B3n%20CREG_10322044%20-%200%20SP%20(1).pdf?csf=1&amp;web=1&amp;e=HSPrbA" TargetMode="External"/><Relationship Id="rId127" Type="http://schemas.openxmlformats.org/officeDocument/2006/relationships/hyperlink" Target="../../../../../:u:/r/sites/GerenciadeRegulacin/Shared%20Documents/General/2023/Regulaci%C3%B3n/19_02_2023_VANTI%20SSPD_Incidencias%20Nuevo%20SUI%20feb%202023/19_02_2023_Anexo%20Envio%20VANTI%20SSPD_Incidencias%20presentadas%20en%20la%20semana%20del%2013%20al%2017%20de%20febrero%20de%202023%20en%20el%20aplicativo%20SUI.msg?csf=1&amp;web=1&amp;e=NdjxpJ" TargetMode="External"/><Relationship Id="rId313" Type="http://schemas.openxmlformats.org/officeDocument/2006/relationships/hyperlink" Target="../../../../../:b:/r/sites/GerenciadeRegulacin/Shared%20Documents/General/2023/Regulaci%C3%B3n/153_09_2023_CREG_Solicitud%20expediente%202020-0118/Comunicaci%C3%B3n%20CREG%20-%20Solicitud%20de%20acceso%20expediente%20Vanti%20-%2004-09-2023.pdf?csf=1&amp;web=1&amp;e=BNemRl" TargetMode="External"/><Relationship Id="rId10" Type="http://schemas.openxmlformats.org/officeDocument/2006/relationships/hyperlink" Target="../../../../../:b:/r/sites/GerenciadeRegulacin/Shared%20Documents/General/2023/Regulaci%C3%B3n/CREG/GOR/Alcance%20solicitud%20tarifaria_05_04_23_GOR.pdf?csf=1&amp;web=1&amp;e=ODPndB" TargetMode="External"/><Relationship Id="rId31" Type="http://schemas.openxmlformats.org/officeDocument/2006/relationships/hyperlink" Target="028-2022%20Vanti%20CREG%20Solicitud%20de%20tercero%20interesado-%20099-2021\028-2022%20Vanti%20CREG%20Solicitud%20de%20tercero%20interesado-%20099-2021.pdf" TargetMode="External"/><Relationship Id="rId52" Type="http://schemas.openxmlformats.org/officeDocument/2006/relationships/hyperlink" Target="../../../../../:b:/r/sites/GerenciadeRegulacin/Shared%20Documents/General/2023/Regulaci%C3%B3n/35_04_23_MME_Traslado%20radicado%20n%C3%BAmero%201-2023-012532%20del%20Ministerio%20de%20Minas%20y%20Energ%C3%ADa/35_04_2023_userFile1682615443683.pdf?csf=1&amp;web=1&amp;e=dHxEok" TargetMode="External"/><Relationship Id="rId73" Type="http://schemas.openxmlformats.org/officeDocument/2006/relationships/hyperlink" Target="../../../../../:b:/r/sites/GerenciadeRegulacin/Shared%20Documents/General/2023/Regulaci%C3%B3n/Concurso%20Econ%C3%B3mico/Municipio%20de%20Duitama/05_2023_Anexo%20Concurso%20Economico_ACTA%2015.pdf?csf=1&amp;web=1&amp;e=jqp5kx" TargetMode="External"/><Relationship Id="rId94" Type="http://schemas.openxmlformats.org/officeDocument/2006/relationships/hyperlink" Target="../../../../../:b:/r/sites/GerenciadeRegulacin/Shared%20Documents/General/2023/Regulaci%C3%B3n/34_04_23_Transmetano_Comunicaci%C3%B3n%20CREG-%20Solicitud%20Acceso%20Expediente%20Transmetano%20-%2011-04-2023_JR/34_05_2023_RTA_CREG_S2023002571.pdf?csf=1&amp;web=1&amp;e=sGBPt2" TargetMode="External"/><Relationship Id="rId148" Type="http://schemas.openxmlformats.org/officeDocument/2006/relationships/hyperlink" Target="../../../../../:b:/r/sites/GerenciadeRegulacin/Shared%20Documents/General/2023/Regulaci%C3%B3n/109_06_2023_Creg%20Vanti_S2023002940/109_06_2023_Creg%20Vanti_S2023002940.pdf?csf=1&amp;web=1&amp;e=HkXfbw" TargetMode="External"/><Relationship Id="rId169" Type="http://schemas.openxmlformats.org/officeDocument/2006/relationships/hyperlink" Target="../../../../../:f:/r/sites/GerenciadeRegulacin/Shared%20Documents/General/2023/Regulaci%C3%B3n/118_07_2023_S2023003244_Auto_Pruebas_20230000071?csf=1&amp;web=1&amp;e=y2WVo3" TargetMode="External"/><Relationship Id="rId334" Type="http://schemas.openxmlformats.org/officeDocument/2006/relationships/hyperlink" Target="Regulaci&#243;n%202024/30_02_2024_Requerimiento%20Calidad%20de%20la%20Informaci&#243;n%20-%20Taxonom&#237;a%20XBRL%202022%20GOR/Respuesta%20Radicado%20No.%2020242300419411%20Requerimiento%20Calidad%20de%20la%20Informaci&#243;n%20-%20Taxonom&#237;a%20XBRL%202022.%20(1).pdf" TargetMode="External"/><Relationship Id="rId355" Type="http://schemas.openxmlformats.org/officeDocument/2006/relationships/hyperlink" Target="../../../../../:f:/r/sites/GerenciadeRegulacin/Shared%20Documents/General/2023/Regulaci%C3%B3n%202024/Eficiencia%20tarifaria%20en%20el%20sector%20energ%C3%A9tico?csf=1&amp;web=1&amp;e=KJE8Da" TargetMode="External"/><Relationship Id="rId376" Type="http://schemas.openxmlformats.org/officeDocument/2006/relationships/hyperlink" Target="Regulaci&#243;n%202024/14_01_2024_CHIA/Respuesta%20al%20requerimiento%20SSPD%2020242310301591%20Informaci&#243;n%20incendios%20forestales%20GNCB.pdf" TargetMode="External"/><Relationship Id="rId397" Type="http://schemas.openxmlformats.org/officeDocument/2006/relationships/hyperlink" Target="../../../../../:f:/r/sites/GerenciadeRegulacin/Shared%20Documents/General/2023/Regulaci%C3%B3n%202024/146_07_2024%20Re%20Rad%2020242312484551-%20Calidad%20Informaci%C3%B3n%20GNCB?csf=1&amp;web=1&amp;e=16i7Ok" TargetMode="External"/><Relationship Id="rId4" Type="http://schemas.openxmlformats.org/officeDocument/2006/relationships/hyperlink" Target="../../../../../:b:/r/sites/GerenciadeRegulacin/Shared%20Documents/General/2023/Regulaci%C3%B3n/SSPD%20MARZO/GNCB/Vanti%20Recuperaci%C3%B3n%20de%20saldos%20acumulados%20de%20la%20Resoluci%C3%B3n%20CREG%20048%20_%20gncb.pdf?csf=1&amp;web=1&amp;e=1eBrCM" TargetMode="External"/><Relationship Id="rId180" Type="http://schemas.openxmlformats.org/officeDocument/2006/relationships/hyperlink" Target="../../../../../:b:/r/sites/GerenciadeRegulacin/Shared%20Documents/General/2023/Regulaci%C3%B3n/135_01_2023_SSPD_ComentariosTarifaCE10154500/135-08-2023%20Comentarios%20proyecto%20Resol.%20%20tarifa%20contribuci%C3%B3n%20especial%202023-%20SSPD.pdf?csf=1&amp;web=1&amp;e=muSNvz" TargetMode="External"/><Relationship Id="rId215" Type="http://schemas.openxmlformats.org/officeDocument/2006/relationships/hyperlink" Target="../../../../../:w:/r/sites/GerenciadeRegulacin/Shared%20Documents/General/2023/Regulaci%C3%B3n/143_08_2023_Requerimiento%20de%20informaci%C3%B3n%20tarifaria%20periodo%20junio%202023,%20copia%20de%20las%20facturas/143-Respuesta%20SSPD%20Radicado%2020232312522141%20.docx?d=w76e111d006f949228d4f296c6e0e55b6&amp;csf=1&amp;web=1&amp;e=2dfgEy" TargetMode="External"/><Relationship Id="rId236" Type="http://schemas.openxmlformats.org/officeDocument/2006/relationships/hyperlink" Target="../../../../../:b:/r/sites/GerenciadeRegulacin/Shared%20Documents/General/2023/Regulaci%C3%B3n/129_07_2023_CREG_S2023002940-%20Respuesta%20AUTO%200000056/129%20-Respuesta%20AUTO%20de%20pruebas%20GNCB_F.pdf?csf=1&amp;web=1&amp;e=ow7EKk" TargetMode="External"/><Relationship Id="rId257" Type="http://schemas.openxmlformats.org/officeDocument/2006/relationships/hyperlink" Target="../../../../../:b:/r/sites/GerenciadeRegulacin/Shared%20Documents/General/2023/Regulaci%C3%B3n/155_08_2024_SICOM_Activacion%20Usuarios/155_08_2023_SICOM_Activaci%C3%B3n%20de%20los%20usuarios%20plataforma%20SICOM%20GNCR/155%20-%20Solicitud%20desbloqueo%20de%20usuarios%20SICOM_gnc.pdf?csf=1&amp;web=1&amp;e=etzaJQ" TargetMode="External"/><Relationship Id="rId278" Type="http://schemas.openxmlformats.org/officeDocument/2006/relationships/hyperlink" Target="../../../../../:b:/r/sites/GerenciadeRegulacin/Shared%20Documents/General/2023/Regulaci%C3%B3n/173_10_2023_CREG_CIRCULAR%20No.%20073%20de%202023-%20REPORTE%20DE%20INFORMACI%C3%93N%20DE%20AOM%20PARA%20LA%20REGULACI%C3%93N%20VIGENCIA%202022%20GNCR/173%20-%20Respuesta%20Circular%20CREG%20073-2023%20AOM%20vigencia%202022_gasnacer.pdf?csf=1&amp;web=1&amp;e=32qCBr" TargetMode="External"/><Relationship Id="rId401" Type="http://schemas.openxmlformats.org/officeDocument/2006/relationships/hyperlink" Target="../../../../../:f:/r/sites/GerenciadeRegulacin/Shared%20Documents/General/2023/Regulaci%C3%B3n%202024/151_08_2024%20Solicitud%20Rerversi%C3%B3n%20GRCS1%20Cundi%20Marzo%202023?csf=1&amp;web=1&amp;e=uuBV9G" TargetMode="External"/><Relationship Id="rId303" Type="http://schemas.openxmlformats.org/officeDocument/2006/relationships/hyperlink" Target="../../../../../:b:/r/sites/GerenciadeRegulacin/Shared%20Documents/General/2023/Regulaci%C3%B3n/189_11_2023_Requerimiento%20de%20informaci%C3%B3n%20tarifaria%20periodo%20septiembre%202023,%20copia%20de%20las%20facturas/20232314584451.pdf?csf=1&amp;web=1&amp;e=mwOw9M" TargetMode="External"/><Relationship Id="rId42" Type="http://schemas.openxmlformats.org/officeDocument/2006/relationships/hyperlink" Target="../../../../../:f:/r/sites/GerenciadeRegulacin/Shared%20Documents/General/2023/Regulaci%C3%B3n/46_04_2023_Vanti_Solicitud%20DP%20JHON%20JAIRO%20GUTI%C3%89RREZ%20DUQUE/46_Rta_DP?csf=1&amp;web=1&amp;e=HxMr4x" TargetMode="External"/><Relationship Id="rId84" Type="http://schemas.openxmlformats.org/officeDocument/2006/relationships/hyperlink" Target="../../../../../:b:/r/sites/GerenciadeRegulacin/Shared%20Documents/General/2023/Regulaci%C3%B3n/70_05_2023_SSPD%20GNCB_20232311641121/70_05_2023_GNCB_Solicitud%20Ampliaci%C3%B3n%20Plazo%20Requerimiento%20de%20informaci%C3%B3n%20%E2%80%93%20Resoluci%C3%B3n%20CREG%20033%20de%202015%2020232311641121.pdf?csf=1&amp;web=1&amp;e=M83EBL" TargetMode="External"/><Relationship Id="rId138" Type="http://schemas.openxmlformats.org/officeDocument/2006/relationships/hyperlink" Target="../../../../../:b:/r/sites/GerenciadeRegulacin/Shared%20Documents/General/2023/Regulaci%C3%B3n/35_04_23_MME_Traslado%20radicado%20n%C3%BAmero%201-2023-012532%20del%20Ministerio%20de%20Minas%20y%20Energ%C3%ADa/35_04_23_MME%20Traslado%20radicado%20n%C3%BAmero%201-2023-012532%20del%20Ministerio%20de%20Minas%20y%20Energ%C3%ADa_202332050085862.pdf?csf=1&amp;web=1&amp;e=wY2zFP" TargetMode="External"/><Relationship Id="rId345" Type="http://schemas.openxmlformats.org/officeDocument/2006/relationships/hyperlink" Target="Regulaci&#243;n%202024/23_11_2023_Reversi&#243;n_GRC2_GNCR_11_23/GRC2_GNCR_11_23_REVERSION.pdf" TargetMode="External"/><Relationship Id="rId387" Type="http://schemas.openxmlformats.org/officeDocument/2006/relationships/hyperlink" Target="../../../../../:f:/r/sites/GerenciadeRegulacin/Shared%20Documents/General/2023/Regulaci%C3%B3n%202024/137_07-2024%20Solicitud%20Reversion%20GRT1%20Feb%20a%20Mar%2024?csf=1&amp;web=1&amp;e=vc4l6i" TargetMode="External"/><Relationship Id="rId191" Type="http://schemas.openxmlformats.org/officeDocument/2006/relationships/hyperlink" Target="../../../../../:f:/r/sites/GerenciadeRegulacin/Shared%20Documents/General/2023/Regulaci%C3%B3n/134_08_2023_SSPD_HONORABLES_SENADORES/GNCR?csf=1&amp;web=1&amp;e=ZwQAFl" TargetMode="External"/><Relationship Id="rId205" Type="http://schemas.openxmlformats.org/officeDocument/2006/relationships/hyperlink" Target="../../../../../:f:/r/sites/GerenciadeRegulacin/Shared%20Documents/General/2023/Regulaci%C3%B3n/31_03_2023_GNCB-Respuesta%20Requerimiento%20de%20informaci%C3%B3n%20sobre%20la%20Revisi%C3%B3n%20Peri%C3%B3dica%20Obligatoria?csf=1&amp;web=1&amp;e=BFvgCB" TargetMode="External"/><Relationship Id="rId247" Type="http://schemas.openxmlformats.org/officeDocument/2006/relationships/hyperlink" Target="../../../../../:b:/r/sites/GerenciadeRegulacin/Shared%20Documents/General/2023/Regulaci%C3%B3n/146_08_2023_MATERIALIZACION%20RIESGOS%20PROCESO%20COMERCIALIZACION%20DE%20GAS%202024-2025/20230822123711213.pdf?csf=1&amp;web=1&amp;e=ngrZZ1" TargetMode="External"/><Relationship Id="rId412" Type="http://schemas.openxmlformats.org/officeDocument/2006/relationships/table" Target="../tables/table1.xml"/><Relationship Id="rId107" Type="http://schemas.openxmlformats.org/officeDocument/2006/relationships/hyperlink" Target="../../../../../:b:/r/sites/GerenciadeRegulacin/Shared%20Documents/General/2023/Regulaci%C3%B3n/33_04_23_Promigas_Comunicaci%C3%B3n%20CREG-%20Solicitud%20Acceso%20Expediente%20Promigas%20-%2011-04-2023_JR/33_04_23_Promigas_Comunicaci%C3%B3n%20CREG-%20Solicitud%20Acceso%20Expediente%20Promigas%20-%2011-04-2023_JR.pdf?csf=1&amp;web=1&amp;e=EGNYFw" TargetMode="External"/><Relationship Id="rId289" Type="http://schemas.openxmlformats.org/officeDocument/2006/relationships/hyperlink" Target="../../../../../:f:/r/sites/GerenciadeRegulacin/Shared%20Documents/General/2023/Regulaci%C3%B3n/182_11_2023_?csf=1&amp;web=1&amp;e=gpai6Q" TargetMode="External"/><Relationship Id="rId11" Type="http://schemas.openxmlformats.org/officeDocument/2006/relationships/hyperlink" Target="../../../../../:b:/r/sites/GerenciadeRegulacin/Shared%20Documents/General/2023/Regulaci%C3%B3n/17/2023.02.15%20-Respuesta%20AUTO%20de%20pruebas%20Vanti%20MCB%204.pdf?csf=1&amp;web=1&amp;e=Y157Og" TargetMode="External"/><Relationship Id="rId53" Type="http://schemas.openxmlformats.org/officeDocument/2006/relationships/hyperlink" Target="../../../../../:u:/r/sites/GerenciadeRegulacin/Shared%20Documents/General/2023/Regulaci%C3%B3n/57_05_2023_SSPD%20Encuesta%20a%20Empresas%20prestadoras%20de%20servicio%20domiciliario%20de%20gas%20por%20redes/RV%20Encuesta%20para%20la%20identificaci%C3%B3n%20y%20confirmaci%C3%B3n%20de%20necesidades%20de%20informaci%C3%B3n%20estad%C3%ADstica%20asociada%20al%20servicio%20p%C3%BAblico%20Domiciliario%20de%20Gas%20Combustible%20por%20Redes.msg?csf=1&amp;web=1&amp;e=ShgobN" TargetMode="External"/><Relationship Id="rId149" Type="http://schemas.openxmlformats.org/officeDocument/2006/relationships/hyperlink" Target="../../../../../:b:/r/sites/GerenciadeRegulacin/Shared%20Documents/General/2023/Regulaci%C3%B3n/105_06_2023_VANTI_Comentarios%20Circular%20046_20%20Jun%202023/105_06_2023_VANTI_Comentarios%20Circular%20046_20%20Jun%202023.pdf?csf=1&amp;web=1&amp;e=nhi708" TargetMode="External"/><Relationship Id="rId314" Type="http://schemas.openxmlformats.org/officeDocument/2006/relationships/hyperlink" Target="../../../../../:b:/r/sites/GerenciadeRegulacin/Shared%20Documents/General/2023/Regulaci%C3%B3n/149_08_2023_Dictamen%20pericial%20con%20intervenci%C3%B3n%20de%20perito%20experto%20para%20expediente/Comunicaci%C3%B3n%20Vanti%20-%20Dictamen%20pericial.pdf?csf=1&amp;web=1&amp;e=XLmYCx" TargetMode="External"/><Relationship Id="rId356" Type="http://schemas.openxmlformats.org/officeDocument/2006/relationships/hyperlink" Target="../../../../../:f:/r/sites/GerenciadeRegulacin/Shared%20Documents/General/2023/Regulaci%C3%B3n%202024/Disponibilidad%20de%20gas%20natural?csf=1&amp;web=1&amp;e=vAaoAm" TargetMode="External"/><Relationship Id="rId398" Type="http://schemas.openxmlformats.org/officeDocument/2006/relationships/hyperlink" Target="../../../../../:f:/r/sites/GerenciadeRegulacin/Shared%20Documents/General/2023/Regulaci%C3%B3n%202024/147_07_2024%20Re%20Rad%2020242312484561-%20Calidad%20Informaci%C3%B3n%20vanti?csf=1&amp;web=1&amp;e=wq977m" TargetMode="External"/><Relationship Id="rId95" Type="http://schemas.openxmlformats.org/officeDocument/2006/relationships/hyperlink" Target="../../../../../:b:/r/sites/GerenciadeRegulacin/Shared%20Documents/General/2023/Regulaci%C3%B3n/32_04_2023_Promioriente_Solicitud%20Acceso%20expediente%202022%20%E2%80%93%200068/32_05_2023_Anexo_Actuacion_administrativa_en_virtud_de_lo_dispuesto_en_el_articulo_8_de_la_Resolucion_CREG_175_de_202_1681487397117.pdf?csf=1&amp;web=1&amp;e=JoVbsc" TargetMode="External"/><Relationship Id="rId160" Type="http://schemas.openxmlformats.org/officeDocument/2006/relationships/hyperlink" Target="../../../../../:b:/r/sites/GerenciadeRegulacin/Shared%20Documents/General/2023/Regulaci%C3%B3n/112_06_2023_S2023003052/112_06_2023_S2023003052.pdf?csf=1&amp;web=1&amp;e=eHim2q" TargetMode="External"/><Relationship Id="rId216" Type="http://schemas.openxmlformats.org/officeDocument/2006/relationships/hyperlink" Target="../../../../../:f:/r/sites/GerenciadeRegulacin/Shared%20Documents/General/2023/Regulaci%C3%B3n/143_08_2023_Requerimiento%20de%20informaci%C3%B3n%20tarifaria%20periodo%20junio%202023,%20copia%20de%20las%20facturas?csf=1&amp;web=1&amp;e=cgQLNh" TargetMode="External"/><Relationship Id="rId258" Type="http://schemas.openxmlformats.org/officeDocument/2006/relationships/hyperlink" Target="../../../../../:b:/r/sites/GerenciadeRegulacin/Shared%20Documents/General/2023/Regulaci%C3%B3n/155_08_2024_SICOM_Activacion%20Usuarios/156_08_2023_SICOM_Activaci%C3%B3n%20de%20los%20usuarios%20plataforma%20SICOM%20GOR/156%20-%20Solicitud%20desbloqueo%20de%20usuarios%20SICOM_gor.pdf?csf=1&amp;web=1&amp;e=CmyRLQ" TargetMode="External"/><Relationship Id="rId22" Type="http://schemas.openxmlformats.org/officeDocument/2006/relationships/hyperlink" Target="../../../../../:f:/r/sites/GerenciadeRegulacin/Shared%20Documents/General/2023/Regulaci%C3%B3n/45_04_2023_Respuesta%20DP%20VANTI%20%209715042-0%20Derecho%20de%20Petici%C3%B3n%20CREG%20E2023002217%20(V_28%20marzo)?csf=1&amp;web=1&amp;e=gbGqCK" TargetMode="External"/><Relationship Id="rId64" Type="http://schemas.openxmlformats.org/officeDocument/2006/relationships/hyperlink" Target="../../../../../:b:/r/sites/GerenciadeRegulacin/Shared%20Documents/General/2023/Regulaci%C3%B3n/50_04_2023_GOR_10184520%20-179%20%202023%20Solicitud%20de%20Reversi%C3%B3n%20GOR_GRCS8/50_05_2023_FF_CERTIFICADO_202305112023345297.pdf?csf=1&amp;web=1&amp;e=CGYvD2" TargetMode="External"/><Relationship Id="rId118" Type="http://schemas.openxmlformats.org/officeDocument/2006/relationships/hyperlink" Target="../../../../../:b:/r/sites/GerenciadeRegulacin/Shared%20Documents/General/2023/Regulaci%C3%B3n/97_06_2023_SSPD%20Vanti_20232311630251/97_06_2023_SSPD%20Vanti_20232311630251.pdf?csf=1&amp;web=1&amp;e=bWFAZz" TargetMode="External"/><Relationship Id="rId325"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GAS%20NATURAL%20DEL%20CESAR.eml?csf=1&amp;web=1&amp;e=xneul4" TargetMode="External"/><Relationship Id="rId367" Type="http://schemas.openxmlformats.org/officeDocument/2006/relationships/hyperlink" Target="Regulaci&#243;n%202024/16_01_2024_Informaci&#243;n%20Incendios%20Forestales%20GN/Respuesta%20al%20requerimiento%20SSPD%2020242310301591%20Informaci&#243;n%20incendios%20forestales%20GNCB%20(1).pdf" TargetMode="External"/><Relationship Id="rId171" Type="http://schemas.openxmlformats.org/officeDocument/2006/relationships/hyperlink" Target="../../../../../:b:/r/sites/GerenciadeRegulacin/Shared%20Documents/General/2023/Regulaci%C3%B3n/123_07_2023_S-2023-160092_GRUPO_VANTI_S.A._ESP/123_07_2023_S-2023-160092_GRUPO_VANTI_S.A._ESP.pdf?csf=1&amp;web=1&amp;e=ay5EdD" TargetMode="External"/><Relationship Id="rId227" Type="http://schemas.openxmlformats.org/officeDocument/2006/relationships/hyperlink" Target="../../../../../:b:/r/sites/GerenciadeRegulacin/Shared%20Documents/General/2023/Regulaci%C3%B3n/144_08_2023_Respuesta%20a%20las%20solicitudes%20del%20acta%20de%20la%20audiencia%20virtual%20realizada%20el%2010%20de%20julio%20de%202023/Aclaracion%20Audiencia%20Otros%20Activos%20GNCB.pdf?csf=1&amp;web=1&amp;e=4Q4fzB" TargetMode="External"/><Relationship Id="rId269" Type="http://schemas.openxmlformats.org/officeDocument/2006/relationships/hyperlink" Target="../../../../../:b:/r/sites/GerenciadeRegulacin/Shared%20Documents/General/2023/Regulaci%C3%B3n/166_09_2023_CREG_PROYECTO%20DE%20RESOLUCION%20No.701%20022/Proyecto_Resoluci%C3%B3n_CREG_701_022_2023.pdf?csf=1&amp;web=1&amp;e=WvqIe6" TargetMode="External"/><Relationship Id="rId33" Type="http://schemas.openxmlformats.org/officeDocument/2006/relationships/hyperlink" Target="144%20-%20Actuaci&#243;n%20Administrativa%20I2022007106%20Expediente%20Gasoriente_vfinal.pdf" TargetMode="External"/><Relationship Id="rId129" Type="http://schemas.openxmlformats.org/officeDocument/2006/relationships/hyperlink" Target="../../../../../:b:/r/sites/GerenciadeRegulacin/Shared%20Documents/General/2023/Regulaci%C3%B3n/98_06_2023_VANTI%20CREG_Solicitud%20estudio%20TGI/98_06_2023_VANTI%20CREG_Solicitud%20estudio%20TGI.pdf?csf=1&amp;web=1&amp;e=BMYhKE" TargetMode="External"/><Relationship Id="rId280"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GAS%20NATURAL%20CUNDIBOYACENSE.eml?csf=1&amp;web=1&amp;e=Tunv8W" TargetMode="External"/><Relationship Id="rId336" Type="http://schemas.openxmlformats.org/officeDocument/2006/relationships/hyperlink" Target="Regulaci&#243;n%202024/02_01_2024_Respuesta%20Radicado%20No.%2020232314992451%20Requerimiento%20de%20informaci&#243;n/Respuesta%20Radicado%20No.%2020232314992451%20Requerimiento%20de%20informaci&#243;n%20tarifaria%20periodo%20octubre%202023.pdf" TargetMode="External"/><Relationship Id="rId75" Type="http://schemas.openxmlformats.org/officeDocument/2006/relationships/hyperlink" Target="../../../../../:b:/r/sites/GerenciadeRegulacin/Shared%20Documents/General/2023/Regulaci%C3%B3n/67_05_2023_MME_100_Resol.%2000420%20del%2012%20de%20mayo%20de%202023%20PP%201-2023/67_05_2023_MME_100_Resol.%2000420%20del%2012%20de%20mayo%20de%202023%20PP%201-2023.pdf?csf=1&amp;web=1&amp;e=NNcgHb" TargetMode="External"/><Relationship Id="rId140" Type="http://schemas.openxmlformats.org/officeDocument/2006/relationships/hyperlink" Target="../../../../../:b:/r/sites/GerenciadeRegulacin/Shared%20Documents/General/2023/Regulaci%C3%B3n/34_04_23_Transmetano_Comunicaci%C3%B3n%20CREG-%20Solicitud%20Acceso%20Expediente%20Transmetano%20-%2011-04-2023_JR/34_04_23_Transmetano_Comunicaci%C3%B3n%20CREG-%20Solicitud%20Acceso%20Expediente%20Transmetano%20-%2011-04-2023_JR.pdf?csf=1&amp;web=1&amp;e=RJoKsd" TargetMode="External"/><Relationship Id="rId182" Type="http://schemas.openxmlformats.org/officeDocument/2006/relationships/hyperlink" Target="../../../../../:f:/r/sites/GerenciadeRegulacin/Shared%20Documents/General/2023/Regulaci%C3%B3n/136_08_2023_CREG_ComunicacionAuto_%20S2023003347?csf=1&amp;web=1&amp;e=c2sBjF" TargetMode="External"/><Relationship Id="rId378" Type="http://schemas.openxmlformats.org/officeDocument/2006/relationships/hyperlink" Target="../../../../../:f:/r/sites/GerenciadeRegulacin/Shared%20Documents/General/2023/Regulaci%C3%B3n%202024/162_08_2024%20Solicitud%20de%20reversi%C3%B3n%20voluntaria%20del%20formato%20SUI%20Reporte%20GRCS3%2005%20Y%2006%20-%202024?csf=1&amp;web=1&amp;e=J1G2OL" TargetMode="External"/><Relationship Id="rId403" Type="http://schemas.openxmlformats.org/officeDocument/2006/relationships/hyperlink" Target="../../../../../:f:/r/sites/GerenciadeRegulacin/Shared%20Documents/General/2023/Regulaci%C3%B3n%202024/153_08_2024_Asunto-Requerimiento%20Radicado%2020245292690792%20Personer%C3%ADa%20de%20Lebrija%20(Santander)?csf=1&amp;web=1&amp;e=rcbFuE" TargetMode="External"/><Relationship Id="rId6" Type="http://schemas.openxmlformats.org/officeDocument/2006/relationships/hyperlink" Target="../../../../../:b:/r/sites/GerenciadeRegulacin/Shared%20Documents/General/2023/Regulaci%C3%B3n/SSPD%20MARZO/GNCR/Recuperaci%C3%B3n%20de%20saldos%20acumulados%20de%20la%20Resoluci%C3%B3n%20CREG%20048%20_%20GNCR.pdf?csf=1&amp;web=1&amp;e=0mdRJn" TargetMode="External"/><Relationship Id="rId238" Type="http://schemas.openxmlformats.org/officeDocument/2006/relationships/hyperlink" Target="../../../../../:b:/r/sites/GerenciadeRegulacin/Shared%20Documents/General/2023/Regulaci%C3%B3n/134_08_2023_SSPD_HONORABLES_SENADORES/GNCR/Respuesta%2010831575%20-%200%20Contestaci%C3%B3n%20Radicado%20a%20citar%2020232312595591%20GNC%20SSPD%20(V3).pdf?csf=1&amp;web=1&amp;e=mYOQX5" TargetMode="External"/><Relationship Id="rId291" Type="http://schemas.openxmlformats.org/officeDocument/2006/relationships/hyperlink" Target="../../../../../: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Vanti.pdf?csf=1&amp;web=1&amp;e=3KpI8u" TargetMode="External"/><Relationship Id="rId305" Type="http://schemas.openxmlformats.org/officeDocument/2006/relationships/hyperlink" Target="../../../../../:b:/r/sites/GerenciadeRegulacin/Shared%20Documents/General/2023/Regulaci%C3%B3n/137_08_2023_MME_ComentariosRES/Vanti%20Oleoducto%20Multif%C3%A1sico.pdf?csf=1&amp;web=1&amp;e=zkkuTH" TargetMode="External"/><Relationship Id="rId347" Type="http://schemas.openxmlformats.org/officeDocument/2006/relationships/hyperlink" Target="../../../../../:b:/r/sites/GerenciadeRegulacin/Shared%20Documents/General/2023/Regulaci%C3%B3n%202024/10154520_005_2024/027-%20Comentarios%20Taxonomia%20EEFF%202020.pdf?csf=1&amp;web=1&amp;e=cHGvMY" TargetMode="External"/><Relationship Id="rId44" Type="http://schemas.openxmlformats.org/officeDocument/2006/relationships/hyperlink" Target="../../../../../:b:/r/sites/GerenciadeRegulacin/Shared%20Documents/General/2023/Regulaci%C3%B3n/48_04_2023_VANTI_%20DERECHO%20DE%20PETICION%20EMPRESAS%20SERVICIOS%20PUBLICOS%20MALLA%20VIAL%20venti%20307/48_04_2023_VANTI_%20DERECHO%20DE%20PETICION%20EMPRESAS%20SERVICIOS%20PUBLICOS%20MALLA%20VIAL%20venti%20307.pdf?csf=1&amp;web=1&amp;e=xJcFDy" TargetMode="External"/><Relationship Id="rId86" Type="http://schemas.openxmlformats.org/officeDocument/2006/relationships/hyperlink" Target="../../../../../:b:/r/sites/GerenciadeRegulacin/Shared%20Documents/General/2023/Regulaci%C3%B3n/77_05_2023_Resuelve%20Recurso%20DP%20SSPD_20238400204385.pdf-2/77_05_2023_Resuelve%20Recurso%20DP%20SSPD_20238400204385.pdf-2.pdf?csf=1&amp;web=1&amp;e=82mhkf" TargetMode="External"/><Relationship Id="rId151" Type="http://schemas.openxmlformats.org/officeDocument/2006/relationships/hyperlink" Target="../../../../../:b:/r/sites/GerenciadeRegulacin/Shared%20Documents/General/2023/Regulaci%C3%B3n/108_06_2023_VANTI%20CREG_Falla%20de%20Mayo_Reporte%20Tarifas2/108_06_2023_VANTI%20CREG_Falla%20de%20Mayo_Reporte%20Tarifas2.pdf?csf=1&amp;web=1&amp;e=9zxT0O" TargetMode="External"/><Relationship Id="rId389" Type="http://schemas.openxmlformats.org/officeDocument/2006/relationships/hyperlink" Target="../../../../../:f:/r/sites/GerenciadeRegulacin/Shared%20Documents/General/2023/Regulaci%C3%B3n%202024/139_07_2024%20Respuesta%20a%20PQR%20-%20Solicitud%20de%20consignaci%C3%B3n%20valor%20excedente%20GNORIENTE%20S.A.%20E.S.P.%20al%20FSSRI%20-%20VALIDACI%C3%93N%202-2022?csf=1&amp;web=1&amp;e=KAkzex" TargetMode="External"/><Relationship Id="rId193" Type="http://schemas.openxmlformats.org/officeDocument/2006/relationships/hyperlink" Target="../../../../../:f:/r/sites/GerenciadeRegulacin/Shared%20Documents/General/2023/Regulaci%C3%B3n/134_08_2023_SSPD_HONORABLES_SENADORES/GNCB?csf=1&amp;web=1&amp;e=zg86CY" TargetMode="External"/><Relationship Id="rId207" Type="http://schemas.openxmlformats.org/officeDocument/2006/relationships/hyperlink" Target="../../../../../:b:/r/sites/GerenciadeRegulacin/Shared%20Documents/General/2023/Regulaci%C3%B3n/30_03_2023_GOR-Respuesta%20Requerimiento%20de%20informaci%C3%B3n%20sobre%20la%20Revisi%C3%B3n%20Peri%C3%B3dica%20Obligatoria/030-%20Respuesta%20requerimiento%20Informaci%C3%B3n%20RPO%202022_Gasoriente.pdf?csf=1&amp;web=1&amp;e=MhcNYs" TargetMode="External"/><Relationship Id="rId249" Type="http://schemas.openxmlformats.org/officeDocument/2006/relationships/hyperlink" Target="../../../../../:b:/r/sites/GerenciadeRegulacin/Shared%20Documents/General/2023/Regulaci%C3%B3n/151_08_2023_Respuesta%20al%20requerimiento%20con%20n%C3%BAmero%20de%20radicado%20S2023003706%20del%2015%20de/Respuesta%20AUTO%20de%20pruebas%20103%20de%202023%20GNCB.pdf?csf=1&amp;web=1&amp;e=2MXKAx" TargetMode="External"/><Relationship Id="rId414" Type="http://schemas.microsoft.com/office/2017/10/relationships/threadedComment" Target="../threadedComments/threadedComment1.xml"/><Relationship Id="rId13" Type="http://schemas.openxmlformats.org/officeDocument/2006/relationships/hyperlink" Target="../../../../../:b:/r/sites/GerenciadeRegulacin/Shared%20Documents/General/2023/Regulaci%C3%B3n/36_04_2023_Comentarios%20Grupo%20Vanti%20_10150500_031/36_04_2023_Comentarios%20Grupo%20Vanti%20_10150500_031.pdf?csf=1&amp;web=1&amp;e=fwIjLa" TargetMode="External"/><Relationship Id="rId109" Type="http://schemas.openxmlformats.org/officeDocument/2006/relationships/hyperlink" Target="../../../../../:b:/r/sites/GerenciadeRegulacin/Shared%20Documents/General/2023/Regulaci%C3%B3n/90_Caso%20Creg%20Rta%20Pte/90_06_2023_Creg_Vanti_RtaRequerimiento_%20S2023002686.pdf?csf=1&amp;web=1&amp;e=V8mtdD" TargetMode="External"/><Relationship Id="rId260" Type="http://schemas.openxmlformats.org/officeDocument/2006/relationships/hyperlink" Target="../../../../../:b:/r/sites/GerenciadeRegulacin/Shared%20Documents/General/2023/Regulaci%C3%B3n/158_09_2023_MME_Certificacion%20prestacion%20de%20servicio%20julio%20y%20agosto%20GRUPO%20VANTI/GNCB/Comunicaci%C3%B3n%20MME%20-%20Certificacion%20prestacion%20de%20servicio%20julio%20y%20agosto%202023%20GNCB.pdf?csf=1&amp;web=1&amp;e=PEc2Fc" TargetMode="External"/><Relationship Id="rId316" Type="http://schemas.openxmlformats.org/officeDocument/2006/relationships/hyperlink" Target="../../../../../:b:/r/sites/GerenciadeRegulacin/Shared%20Documents/General/2023/Regulaci%C3%B3n/158_09_2023_MME_Certificacion%20prestacion%20de%20servicio%20julio%20y%20agosto%20GRUPO%20VANTI/GNCR/Comunicaci%C3%B3n%20MME%20-%20Certificacion%20prestacion%20de%20servicio%20julio%20y%20agosto%202023%20GNCR.pdf?csf=1&amp;web=1&amp;e=bbKuaK" TargetMode="External"/><Relationship Id="rId55" Type="http://schemas.openxmlformats.org/officeDocument/2006/relationships/hyperlink" Target="../../../../../:b:/r/sites/GerenciadeRegulacin/Shared%20Documents/General/2023/Regulaci%C3%B3n/61_05_2023_CREG_S2023002389/61_05_2023_CREG_S2023002389.pdf?csf=1&amp;web=1&amp;e=ZvrpyT" TargetMode="External"/><Relationship Id="rId97" Type="http://schemas.openxmlformats.org/officeDocument/2006/relationships/hyperlink" Target="../../../../../:b:/r/sites/GerenciadeRegulacin/Shared%20Documents/General/2023/Regulaci%C3%B3n/33_04_23_Promigas_Comunicaci%C3%B3n%20CREG-%20Solicitud%20Acceso%20Expediente%20Promigas%20-%2011-04-2023_JR/33_05_2023_Anexo_Solicitud_Acceso_expediente_2022_0065_1681489261891.pdf?csf=1&amp;web=1&amp;e=StpLq0" TargetMode="External"/><Relationship Id="rId120" Type="http://schemas.openxmlformats.org/officeDocument/2006/relationships/hyperlink" Target="../../../../../:b:/r/sites/GerenciadeRegulacin/Shared%20Documents/General/2023/Regulaci%C3%B3n/93_06_2023_Vanti_Creg_Informacion%20Resolucion%20CREG%20137%20de%202013/93_06_2023_Anexo%20certificado_Informacion_Resolucion_CREG_137_de_2013_1686064733666.pdf?csf=1&amp;web=1&amp;e=vFF3AA" TargetMode="External"/><Relationship Id="rId358" Type="http://schemas.openxmlformats.org/officeDocument/2006/relationships/hyperlink" Target="../../../../../:f:/r/sites/GerenciadeRegulacin/Shared%20Documents/General/2023/Regulaci%C3%B3n%202024/Soluciones%20Energ%C3%A9ticas%20-%20FONENERG%C3%8DA?csf=1&amp;web=1&amp;e=ccunj6" TargetMode="External"/><Relationship Id="rId162" Type="http://schemas.openxmlformats.org/officeDocument/2006/relationships/hyperlink" Target="../../../../../:u:/r/sites/GerenciadeRegulacin/Shared%20Documents/General/2023/Regulaci%C3%B3n/115_07_2023_CREG%20VANTI_S2023003085_20230000064/115_07_2023_Solicitud%20tarifaria%20para%20la%20aprobaci%C3%B3n%20de%20cargos%20de%20distribuci%C3%B3n%20de%20gas%20S2023003085.msg?csf=1&amp;web=1&amp;e=NzNQ6a" TargetMode="External"/><Relationship Id="rId218" Type="http://schemas.openxmlformats.org/officeDocument/2006/relationships/hyperlink" Target="../../../../../:b:/r/sites/GerenciadeRegulacin/Shared%20Documents/General/2023/Regulaci%C3%B3n/134_08_2023_SSPD_HONORABLES_SENADORES/VANTI/Respuesta%2010954269%20-%200%20Contestaci%C3%B3n%20Radicado%20a%20citar%2020232312595511%20VANTI%20SSPD%20(V1).pdf?csf=1&amp;web=1&amp;e=P688dL" TargetMode="External"/><Relationship Id="rId271" Type="http://schemas.openxmlformats.org/officeDocument/2006/relationships/hyperlink" Target="../../../../../:f:/r/sites/GerenciadeRegulacin/Shared%20Documents/General/2023/Regulaci%C3%B3n/CREG%20073%202023?csf=1&amp;web=1&amp;e=qTvxyv" TargetMode="External"/><Relationship Id="rId24" Type="http://schemas.openxmlformats.org/officeDocument/2006/relationships/hyperlink" Target="080-05-2022%20Solicitud%20de%20notificaci&#243;n%20personal%20GOR/080-05-2022%20Solicitud%20de%20notificaci&#243;n%20personal%20GOR.pdf" TargetMode="External"/><Relationship Id="rId66" Type="http://schemas.openxmlformats.org/officeDocument/2006/relationships/hyperlink" Target="../../../../../:b:/r/sites/GerenciadeRegulacin/Shared%20Documents/General/2023/Regulaci%C3%B3n/63_05_2023_CREG_S2023002445/63_05_2023_CREG_S2023002445.pdf?csf=1&amp;web=1&amp;e=b5OuLF" TargetMode="External"/><Relationship Id="rId131" Type="http://schemas.openxmlformats.org/officeDocument/2006/relationships/hyperlink" Target="../../../../../:b:/r/sites/GerenciadeRegulacin/Shared%20Documents/General/2023/Regulaci%C3%B3n/103_06_2023_Anexo_Primeros%20Comentarios%20a%20estudio%20TGI/103_06_2023_Anexo_Primeros%20Comentarios%20a%20estudio%20TGI.pdf?csf=1&amp;web=1&amp;e=s1Uvnu" TargetMode="External"/><Relationship Id="rId327" Type="http://schemas.openxmlformats.org/officeDocument/2006/relationships/hyperlink" Target="../../../../../:b:/r/sites/GerenciadeRegulacin/Shared%20Documents/General/2023/Regulaci%C3%B3n/178_10_2023_SSPD_Requerimiento%20de%20informaci%C3%B3n%20tarifaria%20periodo%20julio%20y%20agosto%202023/Requerimiento%2020232313862531%20de%20informaci%C3%B3n%20tarifaria%20periodo%20julio%20y%20agosto%202023.pdf?csf=1&amp;web=1&amp;e=Ti4ocv" TargetMode="External"/><Relationship Id="rId369" Type="http://schemas.openxmlformats.org/officeDocument/2006/relationships/hyperlink" Target="Regulaci&#243;n%202024/07_01_2024_Comentarios%20del%20Grupo%20Vanti%20al%20Plan%20de%20Acci&#243;n%20Minenerg&#237;a%202024/PlanAccion2024-Minenergia-Comentarios.xlsx" TargetMode="External"/><Relationship Id="rId173" Type="http://schemas.openxmlformats.org/officeDocument/2006/relationships/hyperlink" Target="../../../../../:b:/r/sites/GerenciadeRegulacin/Shared%20Documents/General/2023/Regulaci%C3%B3n/129_07_2023_CREG_S2023002940-%20Respuesta%20AUTO%200000056/129%20-Respuesta%20AUTO%20de%20pruebas%20GNCB_F.pdf?csf=1&amp;web=1&amp;e=ow7EKk" TargetMode="External"/><Relationship Id="rId229" Type="http://schemas.openxmlformats.org/officeDocument/2006/relationships/hyperlink" Target="../../../../../:f:/r/sites/GerenciadeRegulacin/Shared%20Documents/General/2023/Regulaci%C3%B3n/144_08_2023_Respuesta%20a%20las%20solicitudes%20del%20acta%20de%20la%20audiencia%20virtual%20realizada%20el%2010%20de%20julio%20de%202023?csf=1&amp;web=1&amp;e=pnM9Df" TargetMode="External"/><Relationship Id="rId380" Type="http://schemas.openxmlformats.org/officeDocument/2006/relationships/hyperlink" Target="../../../../../:f:/r/sites/GerenciadeRegulacin/Shared%20Documents/General/2023/Regulaci%C3%B3n%202024/130_07_2024%20Notificaci%C3%B3n%20falla%20de%20cargue%20del%20Formulario%20de%20Medici%C3%B3n%20del%20nivel%20de%20satisfacci%C3%B3n%20del%20Prestador?csf=1&amp;web=1&amp;e=wiK5EO" TargetMode="External"/><Relationship Id="rId240" Type="http://schemas.openxmlformats.org/officeDocument/2006/relationships/hyperlink" Target="../../../../../:b:/r/sites/GerenciadeRegulacin/Shared%20Documents/General/2023/Regulaci%C3%B3n/132_08_2023_SSPD_REQInfoTarifaria_20232312522141/Requerimiento%20verificaci%C3%B3n%20tarifaria%20mayo%2020232312522141_%20Vanti.pdf?csf=1&amp;web=1&amp;e=wKb3KQ" TargetMode="External"/><Relationship Id="rId35" Type="http://schemas.openxmlformats.org/officeDocument/2006/relationships/hyperlink" Target="D-702%20008-2022%20Formato%20comentarios%20Anexo_Vanti.xlsm" TargetMode="External"/><Relationship Id="rId77" Type="http://schemas.openxmlformats.org/officeDocument/2006/relationships/hyperlink" Target="../../../../../:b:/r/sites/GerenciadeRegulacin/Shared%20Documents/General/2023/Regulaci%C3%B3n/60_05_2023_10085791/60_05_2023_Rta%20Vanti_10085791-0.pdf?csf=1&amp;web=1&amp;e=sdgpIR" TargetMode="External"/><Relationship Id="rId100" Type="http://schemas.openxmlformats.org/officeDocument/2006/relationships/hyperlink" Target="../../../../../:u:/r/sites/GerenciadeRegulacin/Shared%20Documents/General/2023/Regulaci%C3%B3n/85_05_2023_Comunicado%20a%20Vanti_20233102014838%20(002)/85_05_2023_Anexo_RV%20MINENERGIA%20Registro%20radicado%202-2023-014838.msg?csf=1&amp;web=1&amp;e=e7X9lu" TargetMode="External"/><Relationship Id="rId282" Type="http://schemas.openxmlformats.org/officeDocument/2006/relationships/hyperlink" Target="../../../../../:u:/r/sites/GerenciadeRegulacin/Shared%20Documents/General/2023/Regulaci%C3%B3n/176_10_2023_COBERTURAS%20III%20TRIMESTRE%20GRUPO%20VANTI/REPORTE%20TRIMESTRAL%20DE%20COBERTURAS%20GAS%20COMBUSTIBLE%20POR%20REDES%20TRIMESTRE%20III%202023%20-%20GAS%20NATURAL%20DEL%20CESAR.eml?csf=1&amp;web=1&amp;e=xneul4" TargetMode="External"/><Relationship Id="rId338" Type="http://schemas.openxmlformats.org/officeDocument/2006/relationships/hyperlink" Target="../../Forms/AllItems.aspx?id=%2Fsites%2FGerenciadeRegulacin%2FShared%20Documents%2F1%2E%20Estrategia%2FDashboards&amp;p=true&amp;ct=1702914696511&amp;or=OWA%2DNT&amp;cid=e053df73%2D38b7%2D0a32%2Dc5a6%2D4735fd266c4a&amp;fromShare=true&amp;ga=1" TargetMode="External"/><Relationship Id="rId8" Type="http://schemas.openxmlformats.org/officeDocument/2006/relationships/hyperlink" Target="../../../../../:b:/r/sites/GerenciadeRegulacin/Shared%20Documents/General/2023/Regulaci%C3%B3n/SSPD%20MARZO/VANTI/RAD1_vanti_22_03_23.pdf?csf=1&amp;web=1&amp;e=VZhDiD" TargetMode="External"/><Relationship Id="rId142" Type="http://schemas.openxmlformats.org/officeDocument/2006/relationships/hyperlink" Target="../../../../../:u:/r/sites/GerenciadeRegulacin/Shared%20Documents/General/2023/Regulaci%C3%B3n/49_04_2023_%20GOR_%20026%20-%20Respuesta%20radicado%202023%20_%20000980_Gastos%20AOM_JR/49_04_2023_GasOriente2020%20S2023000980.zip?csf=1&amp;web=1&amp;e=fMPQ4D" TargetMode="External"/><Relationship Id="rId184" Type="http://schemas.openxmlformats.org/officeDocument/2006/relationships/hyperlink" Target="../../../../../:f:/r/sites/GerenciadeRegulacin/Shared%20Documents/General/2023/Regulaci%C3%B3n/129_07_2023_CREG_S2023002940-%20Respuesta%20AUTO%200000056?csf=1&amp;web=1&amp;e=GmaKSI" TargetMode="External"/><Relationship Id="rId391" Type="http://schemas.openxmlformats.org/officeDocument/2006/relationships/hyperlink" Target="../../../../../:f:/r/sites/GerenciadeRegulacin/Shared%20Documents/General/2023/Regulaci%C3%B3n%202024/141_07_2024%20Re%20Rad%2020242312484561-%20Calidad%20Informaci%C3%B3n%20GOR?csf=1&amp;web=1&amp;e=2cYWu8" TargetMode="External"/><Relationship Id="rId405" Type="http://schemas.openxmlformats.org/officeDocument/2006/relationships/hyperlink" Target="../../../../../:f:/r/sites/GerenciadeRegulacin/Shared%20Documents/General/2023/Regulaci%C3%B3n%202024/155_07_2024%20Asunto%20Requerimiento%20de%20informaci%C3%B3n%20%E2%80%93%20Resoluciones%20CREG%20de%20aprobaci%C3%B3n%20de%20cargos%20de%20comercializaci%C3%B3n%20y%20distribuci%C3%B3n%20del%20servicio%20de%20gas%20por%20redes%20de%20Tuberia%20Cundi?csf=1&amp;web=1&amp;e=0KChdF" TargetMode="External"/><Relationship Id="rId251" Type="http://schemas.openxmlformats.org/officeDocument/2006/relationships/hyperlink" Target="../../../../../:b:/r/sites/GerenciadeRegulacin/Shared%20Documents/General/2023/Regulaci%C3%B3n/PROYECTO%20DE%20RESOLUCI%C3%93N%20No.%20701%20019/Proyecto_Resoluci%C3%B3n_CREG_701_019_2023%20(1).pdf?csf=1&amp;web=1&amp;e=juKjjx" TargetMode="External"/><Relationship Id="rId46" Type="http://schemas.openxmlformats.org/officeDocument/2006/relationships/hyperlink" Target="../../../../../:b:/r/sites/GerenciadeRegulacin/Shared%20Documents/General/2023/Regulaci%C3%B3n/56_04_2023_MME_AsignacionSubsidios/56_04_2023_MME_AsignacionSubsidios%20_Resol.%20000346%20del%2021%20de%20abril%20de%202023%20PS%203-2022.pdf?csf=1&amp;web=1&amp;e=Jw7mmG" TargetMode="External"/><Relationship Id="rId293" Type="http://schemas.openxmlformats.org/officeDocument/2006/relationships/hyperlink" Target="../../../../../: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NCR.pdf?csf=1&amp;web=1&amp;e=LmDN2R" TargetMode="External"/><Relationship Id="rId307" Type="http://schemas.openxmlformats.org/officeDocument/2006/relationships/hyperlink" Target="../../../../../:b:/r/sites/GerenciadeRegulacin/Shared%20Documents/General/2023/Regulaci%C3%B3n/152_08_2023_CREG_Comentarios%20Resoluci%C3%B3n%20CREG%20702%20003%20%E2%80%9CPor%20la%20cual%20se%20reglamentan%20aspectos/Comentarios%20Vanti%20CREG%20702-003_F.pdf?csf=1&amp;web=1&amp;e=hRtxaf" TargetMode="External"/><Relationship Id="rId349" Type="http://schemas.openxmlformats.org/officeDocument/2006/relationships/hyperlink" Target="../../../../../:f:/r/sites/GerenciadeRegulacin/Shared%20Documents/General/2023/Regulaci%C3%B3n%202024/Plan%20de%20Acci%C3%B3n%20Minenerg%C3%ADa%202024?csf=1&amp;web=1&amp;e=hDirYz" TargetMode="External"/><Relationship Id="rId88" Type="http://schemas.openxmlformats.org/officeDocument/2006/relationships/hyperlink" Target="../../../../../:b:/r/sites/GerenciadeRegulacin/Shared%20Documents/General/2023/Regulaci%C3%B3n/79_05_2023_RTA%20GOR_144%20-%20Actuaci%C3%B3n%20Administrativa%20I2022007106%20Expediente%20Gasoriente_vfinal/79_05_2023_RTA%20GOR_144%20-%20Actuaci%C3%B3n%20Administrativa%20I2022007106%20Expediente%20Gasoriente_vfinal.pdf?csf=1&amp;web=1&amp;e=TgLcie" TargetMode="External"/><Relationship Id="rId111" Type="http://schemas.openxmlformats.org/officeDocument/2006/relationships/hyperlink" Target="../../../../../:b:/r/sites/GerenciadeRegulacin/Shared%20Documents/General/2023/Regulaci%C3%B3n/96_06_2023_SSPD_Requerimiento_20232311718731/96_06_2023_SSPD_Requerimiento_20232311718731.pdf?csf=1&amp;web=1&amp;e=AXsivH" TargetMode="External"/><Relationship Id="rId153" Type="http://schemas.openxmlformats.org/officeDocument/2006/relationships/hyperlink" Target="../../../../../:b:/r/sites/GerenciadeRegulacin/Shared%20Documents/General/2023/Regulaci%C3%B3n/SPD/9726985%20-%200%20SP_%20VANTI_SDP_CONCURSOECO_2023.pdf?csf=1&amp;web=1&amp;e=MIOjTr" TargetMode="External"/><Relationship Id="rId195" Type="http://schemas.openxmlformats.org/officeDocument/2006/relationships/hyperlink" Target="../../../../../:b:/r/sites/GerenciadeRegulacin/Shared%20Documents/General/2023/Regulaci%C3%B3n/140_08_2023_MME_FondoSolidaridadValidaci%C3%B3nFSSRIGAS/Respuesta%2010954269%20-%200%20Contestaci%C3%B3n%20Radicado%20a%20citar%2020232312595511%20VANTI%20SSPD%20(V1).pdf?csf=1&amp;web=1&amp;e=bD4dKa" TargetMode="External"/><Relationship Id="rId209" Type="http://schemas.openxmlformats.org/officeDocument/2006/relationships/hyperlink" Target="../../../../../:b:/r/sites/GerenciadeRegulacin/Shared%20Documents/General/2023/Regulaci%C3%B3n/31_03_2023_GNCB-Respuesta%20Requerimiento%20de%20informaci%C3%B3n%20sobre%20la%20Revisi%C3%B3n%20Peri%C3%B3dica%20Obligatoria/028-%20Respuesta%20requerimiento%20Informaci%C3%B3n%20RPO%202022_cundi.pdf?csf=1&amp;web=1&amp;e=2ttvfu" TargetMode="External"/><Relationship Id="rId360" Type="http://schemas.openxmlformats.org/officeDocument/2006/relationships/hyperlink" Target="../../../../../:f:/r/sites/GerenciadeRegulacin/Shared%20Documents/General/2023/Regulaci%C3%B3n%202024/Informaci%C3%B3n%20tarifaria%20suministro%20y%20transporte%20de%20gas%20natural?csf=1&amp;web=1&amp;e=aLjdxY" TargetMode="External"/><Relationship Id="rId220" Type="http://schemas.openxmlformats.org/officeDocument/2006/relationships/hyperlink" Target="../../../../../:b:/r/sites/GerenciadeRegulacin/Shared%20Documents/General/2023/Regulaci%C3%B3n/Circular%20CREG%20050/15%20Agosto/Reporte_Circular_CREG_050_de_Gas_Natural_del_Cesar_S.A_ESP_1692193998813.pdf?csf=1&amp;web=1&amp;e=M1RYZm" TargetMode="External"/><Relationship Id="rId15" Type="http://schemas.openxmlformats.org/officeDocument/2006/relationships/hyperlink" Target="../../../../../:b:/r/sites/GerenciadeRegulacin/Shared%20Documents/General/2023/Regulaci%C3%B3n/38_04_2023_GOR_202331020089232/38_04_2023_GOR_202331020089232.pdf?csf=1&amp;web=1&amp;e=JYNcLx" TargetMode="External"/><Relationship Id="rId57" Type="http://schemas.openxmlformats.org/officeDocument/2006/relationships/hyperlink" Target="../../../../../:b:/r/sites/GerenciadeRegulacin/Shared%20Documents/General/2023/Regulaci%C3%B3n/62_05_2023_20232031468021/62_05_2023_RTA_20232031468021.pdf?csf=1&amp;web=1&amp;e=BXUdG7" TargetMode="External"/><Relationship Id="rId262" Type="http://schemas.openxmlformats.org/officeDocument/2006/relationships/hyperlink" Target="../../../../../:b:/r/sites/GerenciadeRegulacin/Shared%20Documents/General/2023/Regulaci%C3%B3n/158_09_2023_MME_Certificacion%20prestacion%20de%20servicio%20julio%20y%20agosto%20GRUPO%20VANTI/GOR/Comunicaci%C3%B3n%20MME%20-%20Certificacion%20prestacion%20de%20servicio%20julio%20y%20agosto%202023%20GOR.pdf?csf=1&amp;web=1&amp;e=oDmSBv" TargetMode="External"/><Relationship Id="rId318" Type="http://schemas.openxmlformats.org/officeDocument/2006/relationships/hyperlink" Target="../../../../../:b:/r/sites/GerenciadeRegulacin/Shared%20Documents/General/2023/Regulaci%C3%B3n/162_09_2023_KPGM_VANTI/VANTI_KPMG_2022%20(4).pdf?csf=1&amp;web=1&amp;e=wx2pD9" TargetMode="External"/><Relationship Id="rId99" Type="http://schemas.openxmlformats.org/officeDocument/2006/relationships/hyperlink" Target="../../../../../:b:/r/sites/GerenciadeRegulacin/Shared%20Documents/General/2023/Regulaci%C3%B3n/85_05_2023_Comunicado%20a%20Vanti_20233102014838%20(002)/85_05_2023_Comunicado%20a%20Vanti_20233102014838%20(002).pdf?csf=1&amp;web=1&amp;e=5npXlS" TargetMode="External"/><Relationship Id="rId122" Type="http://schemas.openxmlformats.org/officeDocument/2006/relationships/hyperlink" Target="../../../../../:u:/r/sites/GerenciadeRegulacin/Shared%20Documents/General/2023/Regulaci%C3%B3n/44_04_2023_DPeticion%20%20Dayana%20a%20Vanti/44_05_2023_Recordatorio%20enviado%20a%20Servicio%20al%20Cliente_RE%20DERECHO%20DE%20PETICI%C3%93N.msg?csf=1&amp;web=1&amp;e=SXkwev" TargetMode="External"/><Relationship Id="rId164" Type="http://schemas.openxmlformats.org/officeDocument/2006/relationships/hyperlink" Target="../../../../../:b:/r/sites/GerenciadeRegulacin/Shared%20Documents/General/2023/Regulaci%C3%B3n/116_07_2023_SSPD%20VANTI_20238002265641/116_07_2023_SSPD%20VANTI_20238002265641.pdf?csf=1&amp;web=1&amp;e=x5cH1p" TargetMode="External"/><Relationship Id="rId371" Type="http://schemas.openxmlformats.org/officeDocument/2006/relationships/hyperlink" Target="Regulaci&#243;n%202024/61_04_2024_Radicado%20No.%2020232301504281%20-%20Requerimiento%20Contrato%20de%20AEGR,%20vigente%20sin%20copia%20en%20RUPS/Radicado%20No.%2020232301504281%20-%20Requerimiento%20Contrato%20de%20AEGR%20-%20IR%20(1).pdf" TargetMode="External"/><Relationship Id="rId26" Type="http://schemas.openxmlformats.org/officeDocument/2006/relationships/hyperlink" Target="024-01-2022%20CREG%20Reporte%20Activos%202021_Gasnacer\024-01-2022%20CREG%20Reporte%20Activos%202021_Gasnacer.pdf" TargetMode="External"/><Relationship Id="rId231" Type="http://schemas.openxmlformats.org/officeDocument/2006/relationships/hyperlink" Target="../../../../../:b:/r/sites/GerenciadeRegulacin/Shared%20Documents/General/2023/Regulaci%C3%B3n/141_08_2023_CREG_VANTI_Respuesta%20a%20las%20solicitudes%20del%20acta%20de%20la%20audiencia%20realizada%20el%2019%20de%20julio%20de%202023/Respuesta_a_las_solicitudes_del_acta_de_la_audiencia_realizada_el_19_de_julio_de_2023_Vanti_16921939567.pdf?csf=1&amp;web=1&amp;e=cLkfh6" TargetMode="External"/><Relationship Id="rId273" Type="http://schemas.openxmlformats.org/officeDocument/2006/relationships/hyperlink" Target="../../../../../:b:/r/sites/GerenciadeRegulacin/Shared%20Documents/General/2023/Regulaci%C3%B3n/169_10_2023_CREG_Proyecto%20de%20resoluci%C3%B3n%20702%20005%20de%202023/Proyecto_Resoluci%C3%B3n_CREG_702_005_2023.pdf?csf=1&amp;web=1&amp;e=kh5Ya7" TargetMode="External"/><Relationship Id="rId329" Type="http://schemas.openxmlformats.org/officeDocument/2006/relationships/hyperlink" Target="https://grupovanti-my.sharepoint.com/:b:/r/personal/g0574626_grupovanti_com/Documents/Nuevo%20SUI/02.%20Seguimiento/CONSECUTIVOS/Regulaci%C3%B3n%202024/01_01_2024_REVERSION%20AOM%202022/01%202024%20-Solicitud%20reversion%20costos%20ABC%20a%C3%B1o%202022.pdf?csf=1&amp;web=1&amp;e=HheaT" TargetMode="External"/><Relationship Id="rId68" Type="http://schemas.openxmlformats.org/officeDocument/2006/relationships/hyperlink" Target="../../../../../:b:/r/sites/GerenciadeRegulacin/Shared%20Documents/General/2023/Regulaci%C3%B3n/60_05_2023_10085791/60_05_2023_10085791%20-%200%20SP.pdf?csf=1&amp;web=1&amp;e=NpLr2H" TargetMode="External"/><Relationship Id="rId133" Type="http://schemas.openxmlformats.org/officeDocument/2006/relationships/hyperlink" Target="../../../../../:b:/r/sites/GerenciadeRegulacin/Shared%20Documents/General/2023/Regulaci%C3%B3n/106_06_2023_SSPD%20VANTI_S-2023-137807_GRUPO_VANTI_S.A._ESP/106_06_2023_SSPD%20VANTI_S-2023-137807_GRUPO_VANTI_S.A._ESP.pdf?csf=1&amp;web=1&amp;e=2t30uD" TargetMode="External"/><Relationship Id="rId175" Type="http://schemas.openxmlformats.org/officeDocument/2006/relationships/hyperlink" Target="../../../../../:b:/r/sites/GerenciadeRegulacin/Shared%20Documents/General/2023/Regulaci%C3%B3n/130_07_2023_CONSEJO%20BOGOTA_Respuesta%20derecho%20de%20peticion_/Respuesta%20Solicitud%20del%20consejo%20Bogot%C3%A1%2010%20de%20julio%20de%202023%20(004).pdf?csf=1&amp;web=1&amp;e=sRWomd" TargetMode="External"/><Relationship Id="rId340" Type="http://schemas.openxmlformats.org/officeDocument/2006/relationships/hyperlink" Target="Regulaci&#243;n%202024/27_02_2024_Certificaci&#243;n%20de%20la%20prestaci&#243;n%20del%20servicio%20(VANTI,%20GNCB,%20GOR,%20GNCR)/Comunicaci&#243;n%20MME%20-%20Certificacion%20prestacion%20de%20servicio%20enero%20y%20febrero%202024%20GNCB.pdf" TargetMode="External"/><Relationship Id="rId200" Type="http://schemas.openxmlformats.org/officeDocument/2006/relationships/hyperlink" Target="../../../../../:f:/r/sites/GerenciadeRegulacin/Shared%20Documents/General/2023/Regulaci%C3%B3n/21-03-2023%20%20al%2024-03-2023%20Indicadores%20SSPD/21%20GNCR?csf=1&amp;web=1&amp;e=QMNEDW" TargetMode="External"/><Relationship Id="rId382" Type="http://schemas.openxmlformats.org/officeDocument/2006/relationships/hyperlink" Target="../../../../../:f:/r/sites/GerenciadeRegulacin/Shared%20Documents/General/2023/Regulaci%C3%B3n%202024/132_07_2024%20Propuestas%20para%20atenci%C3%B3n%20de%20demanda%20esencial%20y%20no%20esencial%20de%20gas%20natural?csf=1&amp;web=1&amp;e=Je8M8o" TargetMode="External"/><Relationship Id="rId242" Type="http://schemas.openxmlformats.org/officeDocument/2006/relationships/hyperlink" Target="../../../../../:f:/r/sites/GerenciadeRegulacin/Shared%20Documents/General/2023/Regulaci%C3%B3n/132_08_2023_SSPD_REQInfoTarifaria_20232312522141?csf=1&amp;web=1&amp;e=DKNaE7" TargetMode="External"/><Relationship Id="rId284" Type="http://schemas.openxmlformats.org/officeDocument/2006/relationships/hyperlink" Target="../../../../../:f:/r/sites/GerenciadeRegulacin/Shared%20Documents/General/2023/Regulaci%C3%B3n/177_10_2023_CREG_Proyecto%20de%20resolucion%20705%20004?csf=1&amp;web=1&amp;e=sKMpl2" TargetMode="External"/><Relationship Id="rId37" Type="http://schemas.openxmlformats.org/officeDocument/2006/relationships/hyperlink" Target="Comentarios_demandasPromigas.xlsx" TargetMode="External"/><Relationship Id="rId79" Type="http://schemas.openxmlformats.org/officeDocument/2006/relationships/hyperlink" Target="../../../../../:b:/r/sites/GerenciadeRegulacin/Shared%20Documents/General/2023/Regulaci%C3%B3n/69_05_2023_SSPD%20GOR__20232311640301/69_05_2023_SSPD%20GOR__20232311640301.pdf?csf=1&amp;web=1&amp;e=e6btxp" TargetMode="External"/><Relationship Id="rId102" Type="http://schemas.openxmlformats.org/officeDocument/2006/relationships/hyperlink" Target="../../../../../:b:/r/sites/GerenciadeRegulacin/Shared%20Documents/General/2023/Regulaci%C3%B3n/84_05_2023_GOR%20RTA_Respuesta%20Radicado%20No.%2020232311640301-%20GASORIENTE/84_05_2023_GOR%20RTA_Respuesta%20Radicado%20No.%2020232311640301-%20GASORIENTE.pdf?csf=1&amp;web=1&amp;e=ba7voq" TargetMode="External"/><Relationship Id="rId144" Type="http://schemas.openxmlformats.org/officeDocument/2006/relationships/hyperlink" Target="../../../../../:b:/r/sites/GerenciadeRegulacin/Shared%20Documents/General/2023/Regulaci%C3%B3n/22_03_2023_RAD2_GOR_22_03_23/22_03_2023_RAD2_GOR_22_03_23.pdf?csf=1&amp;web=1&amp;e=JN99eq" TargetMode="External"/><Relationship Id="rId90" Type="http://schemas.openxmlformats.org/officeDocument/2006/relationships/hyperlink" Target="../../../../../:b:/r/sites/GerenciadeRegulacin/Shared%20Documents/General/2023/Regulaci%C3%B3n/48_04_2023_VANTI_%20DERECHO%20DE%20PETICION%20EMPRESAS%20SERVICIOS%20PUBLICOS%20MALLA%20VIAL%20venti%20307/48_04_2023_VANTI_%20DERECHO%20DE%20PETICION%20EMPRESAS%20SERVICIOS%20PUBLICOS%20MALLA%20VIAL%20venti%20307.pdf?csf=1&amp;web=1&amp;e=QQCCg3" TargetMode="External"/><Relationship Id="rId186" Type="http://schemas.openxmlformats.org/officeDocument/2006/relationships/hyperlink" Target="Regulaci&#243;n%202023/07-01-2023%20Citacion%20UPME/Carta%20cita%20UPME.pdf" TargetMode="External"/><Relationship Id="rId351" Type="http://schemas.openxmlformats.org/officeDocument/2006/relationships/hyperlink" Target="../../../../../:f:/r/sites/GerenciadeRegulacin/Shared%20Documents/General/2023/Regulaci%C3%B3n%202024/PEN%202024-2054?csf=1&amp;web=1&amp;e=nU0rUQ" TargetMode="External"/><Relationship Id="rId393" Type="http://schemas.openxmlformats.org/officeDocument/2006/relationships/hyperlink" Target="../../../../../:f:/r/sites/GerenciadeRegulacin/Shared%20Documents/General/2023/Regulaci%C3%B3n%202024/143_07_2024%20Alcance%20Carta%20Req%20Reversion%20GRC1%20Dic%202023?csf=1&amp;web=1&amp;e=scfvdF" TargetMode="External"/><Relationship Id="rId407" Type="http://schemas.openxmlformats.org/officeDocument/2006/relationships/hyperlink" Target="../../../../../:f:/r/sites/GerenciadeRegulacin/Shared%20Documents/General/2023/Regulaci%C3%B3n%202024/157_07_2024%20Asunto%20Requerimiento%20de%20informaci%C3%B3n%20%E2%80%93%20Resoluciones%20CREG%20de%20aprobaci%C3%B3n%20de%20cargos%20de%20comercializaci%C3%B3n%20y%20distribuci%C3%B3n%20del%20servicio%20de%20gas%20por%20redes%20de%20Tuberia%20GOR?csf=1&amp;web=1&amp;e=yZSBe5" TargetMode="External"/><Relationship Id="rId211" Type="http://schemas.openxmlformats.org/officeDocument/2006/relationships/hyperlink" Target="../../../../../:f:/r/sites/GerenciadeRegulacin/Shared%20Documents/General/2023/Regulaci%C3%B3n/26_03_2023_Saldos%20hisotircos%20y%20tarifas?csf=1&amp;web=1&amp;e=OiYyvs" TargetMode="External"/><Relationship Id="rId253" Type="http://schemas.openxmlformats.org/officeDocument/2006/relationships/hyperlink" Target="../../../../../:b:/r/sites/GerenciadeRegulacin/Shared%20Documents/General/2023/Regulaci%C3%B3n/154_09_2023_CREG_Solicitud%20acceso%20expediente%20GNCB/Comunicaci%C3%B3n%20CREG%20-%20Solicitud%20acceso%20expediente%20GNCB%20-%2004-09-2023.pdf?csf=1&amp;web=1&amp;e=i1QW3V" TargetMode="External"/><Relationship Id="rId295" Type="http://schemas.openxmlformats.org/officeDocument/2006/relationships/hyperlink" Target="../../../../../:f:/r/sites/GerenciadeRegulacin/Shared%20Documents/General/2023/Regulaci%C3%B3n/MME/Certificaci%C3%B3n%20de%20la%20prestaci%C3%B3n%20del%20servicio%20de%20gas%20combustible%20por%20redes%20de%20tuber%C3%ADa%20para%20los%20meses%20de%20octubre%20y%20noviembre%202023?csf=1&amp;web=1&amp;e=ecEzZY" TargetMode="External"/><Relationship Id="rId309" Type="http://schemas.openxmlformats.org/officeDocument/2006/relationships/hyperlink" Target="../../../../../:b:/r/sites/GerenciadeRegulacin/Shared%20Documents/General/2023/Regulaci%C3%B3n/155_08_2024_SICOM_Activacion%20Usuarios/154_08_2023_SICOM_Activaci%C3%B3n%20de%20los%20usuarios%20plataforma%20SICOM%20GNCB/154%20-%20Solicitud%20desbloqueo%20de%20usuarios%20SICOM_cundi.pdf?csf=1&amp;web=1&amp;e=P0hIw0" TargetMode="External"/><Relationship Id="rId48" Type="http://schemas.openxmlformats.org/officeDocument/2006/relationships/hyperlink" Target="../../../../../:b:/r/sites/GerenciadeRegulacin/Shared%20Documents/General/2023/Regulaci%C3%B3n/Concurso%20Econ%C3%B3mico/RESOLUCION%20279%20CONCURSO%20ECONOMICO_VANTI_%202023.pdf?csf=1&amp;web=1&amp;e=jt9Alt" TargetMode="External"/><Relationship Id="rId113" Type="http://schemas.openxmlformats.org/officeDocument/2006/relationships/hyperlink" Target="../../../../../:b:/r/sites/GerenciadeRegulacin/Shared%20Documents/General/2023/Regulaci%C3%B3n/Concurso%20Econ%C3%B3mico/Alcaldia%20Municipal%20de%20Chiquinquira/SPDI-CH-073-2023_Chiquinquira.pdf?csf=1&amp;web=1&amp;e=1uRbzE" TargetMode="External"/><Relationship Id="rId320" Type="http://schemas.openxmlformats.org/officeDocument/2006/relationships/hyperlink" Target="../../../../../:b:/r/sites/GerenciadeRegulacin/Shared%20Documents/General/2023/Regulaci%C3%B3n/160_09_2023_KPGM_GNCB/GNCB_KPMG_2023.pdf?csf=1&amp;web=1&amp;e=G8AoYc"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12393-6CEC-4436-9876-9EDDA4B049D6}">
  <sheetPr codeName="Hoja1"/>
  <dimension ref="A1:T27"/>
  <sheetViews>
    <sheetView showGridLines="0" zoomScale="85" zoomScaleNormal="85" zoomScalePageLayoutView="85" workbookViewId="0">
      <selection activeCell="C19" sqref="C19"/>
    </sheetView>
  </sheetViews>
  <sheetFormatPr defaultColWidth="0" defaultRowHeight="15.75" zeroHeight="1"/>
  <cols>
    <col min="1" max="1" width="2.7109375" style="10" customWidth="1"/>
    <col min="2" max="2" width="24.28515625" style="11" customWidth="1"/>
    <col min="3" max="3" width="21.5703125" style="9" customWidth="1"/>
    <col min="4" max="4" width="9.5703125" style="10" customWidth="1"/>
    <col min="5" max="5" width="28.42578125" style="10" customWidth="1"/>
    <col min="6" max="6" width="2.85546875" style="10" customWidth="1"/>
    <col min="7" max="7" width="10.42578125" style="10" customWidth="1"/>
    <col min="8" max="8" width="14.85546875" style="10" customWidth="1"/>
    <col min="9" max="9" width="18.85546875" style="10" customWidth="1"/>
    <col min="10" max="10" width="9.5703125" style="10" customWidth="1"/>
    <col min="11" max="11" width="13.5703125" style="10" customWidth="1"/>
    <col min="12" max="12" width="8.140625" style="10" customWidth="1"/>
    <col min="13" max="13" width="6.140625" style="10" customWidth="1"/>
    <col min="14" max="14" width="2.42578125" style="10" customWidth="1"/>
    <col min="15" max="16384" width="4" style="10" hidden="1"/>
  </cols>
  <sheetData>
    <row r="1" spans="1:20" s="9" customFormat="1" ht="44.25" customHeight="1">
      <c r="A1" s="64" t="s">
        <v>0</v>
      </c>
      <c r="B1" s="65"/>
      <c r="C1" s="65"/>
      <c r="D1" s="65"/>
      <c r="E1" s="65"/>
      <c r="F1" s="65"/>
      <c r="G1" s="65"/>
      <c r="H1" s="65"/>
      <c r="I1" s="65"/>
      <c r="J1" s="70"/>
      <c r="K1" s="70"/>
      <c r="L1" s="70"/>
      <c r="M1" s="70"/>
      <c r="N1" s="71"/>
    </row>
    <row r="2" spans="1:20" s="9" customFormat="1" ht="15" customHeight="1">
      <c r="A2" s="66"/>
      <c r="B2" s="67"/>
      <c r="C2" s="67"/>
      <c r="D2" s="67"/>
      <c r="E2" s="67"/>
      <c r="F2" s="67"/>
      <c r="G2" s="67"/>
      <c r="H2" s="67"/>
      <c r="I2" s="67"/>
      <c r="J2" s="72"/>
      <c r="K2" s="72"/>
      <c r="L2" s="72"/>
      <c r="M2" s="72"/>
      <c r="N2" s="73"/>
    </row>
    <row r="3" spans="1:20" s="9" customFormat="1" ht="15.75" customHeight="1">
      <c r="A3" s="66"/>
      <c r="B3" s="67"/>
      <c r="C3" s="67"/>
      <c r="D3" s="67"/>
      <c r="E3" s="67"/>
      <c r="F3" s="67"/>
      <c r="G3" s="67"/>
      <c r="H3" s="67"/>
      <c r="I3" s="67"/>
      <c r="J3" s="72"/>
      <c r="K3" s="72"/>
      <c r="L3" s="72"/>
      <c r="M3" s="72"/>
      <c r="N3" s="73"/>
    </row>
    <row r="4" spans="1:20" s="9" customFormat="1" ht="16.5" thickBot="1">
      <c r="A4" s="68"/>
      <c r="B4" s="69"/>
      <c r="C4" s="69"/>
      <c r="D4" s="69"/>
      <c r="E4" s="69"/>
      <c r="F4" s="69"/>
      <c r="G4" s="69"/>
      <c r="H4" s="69"/>
      <c r="I4" s="69"/>
      <c r="J4" s="74"/>
      <c r="K4" s="74"/>
      <c r="L4" s="74"/>
      <c r="M4" s="74"/>
      <c r="N4" s="75"/>
    </row>
    <row r="5" spans="1:20" s="12" customFormat="1" ht="16.5" thickBot="1">
      <c r="A5" s="31"/>
      <c r="B5" s="30"/>
      <c r="C5" s="21"/>
      <c r="D5" s="21"/>
      <c r="E5" s="21"/>
      <c r="F5" s="21"/>
      <c r="G5" s="32"/>
      <c r="H5" s="32"/>
      <c r="I5" s="21"/>
      <c r="J5" s="21"/>
      <c r="K5" s="21"/>
      <c r="L5" s="21"/>
      <c r="M5" s="21"/>
      <c r="N5" s="33"/>
      <c r="P5" s="14" t="s">
        <v>1</v>
      </c>
      <c r="S5" s="14" t="s">
        <v>2</v>
      </c>
    </row>
    <row r="6" spans="1:20" s="12" customFormat="1" ht="16.5" thickBot="1">
      <c r="A6" s="31"/>
      <c r="B6" s="20" t="s">
        <v>1</v>
      </c>
      <c r="C6" s="19" t="s">
        <v>3</v>
      </c>
      <c r="D6" s="21"/>
      <c r="E6" s="21"/>
      <c r="F6" s="21"/>
      <c r="G6" s="21"/>
      <c r="H6" s="21"/>
      <c r="I6" s="32"/>
      <c r="J6" s="21"/>
      <c r="K6" s="21"/>
      <c r="L6" s="21"/>
      <c r="M6" s="21"/>
      <c r="N6" s="33"/>
      <c r="P6" s="15" t="s">
        <v>3</v>
      </c>
      <c r="S6" s="15" t="s">
        <v>4</v>
      </c>
      <c r="T6" s="13"/>
    </row>
    <row r="7" spans="1:20" s="13" customFormat="1">
      <c r="A7" s="34"/>
      <c r="B7" s="29"/>
      <c r="C7" s="21"/>
      <c r="D7" s="22"/>
      <c r="E7" s="22"/>
      <c r="F7" s="22"/>
      <c r="G7" s="98" t="s">
        <v>5</v>
      </c>
      <c r="H7" s="76" t="s">
        <v>6</v>
      </c>
      <c r="I7" s="77"/>
      <c r="J7" s="77"/>
      <c r="K7" s="22" t="s">
        <v>7</v>
      </c>
      <c r="L7" s="22"/>
      <c r="M7" s="22"/>
      <c r="N7" s="35"/>
      <c r="P7" s="16" t="s">
        <v>8</v>
      </c>
      <c r="S7" s="15" t="s">
        <v>9</v>
      </c>
    </row>
    <row r="8" spans="1:20" s="13" customFormat="1" ht="16.5" thickBot="1">
      <c r="A8" s="34"/>
      <c r="B8" s="20" t="s">
        <v>10</v>
      </c>
      <c r="C8" s="19">
        <v>45566</v>
      </c>
      <c r="D8" s="23"/>
      <c r="E8" s="21"/>
      <c r="F8" s="22"/>
      <c r="G8" s="98"/>
      <c r="H8" s="77"/>
      <c r="I8" s="77"/>
      <c r="J8" s="77"/>
      <c r="K8" s="32"/>
      <c r="L8" s="22"/>
      <c r="M8" s="22"/>
      <c r="N8" s="35"/>
      <c r="P8" s="16" t="s">
        <v>11</v>
      </c>
      <c r="S8" s="15" t="s">
        <v>12</v>
      </c>
    </row>
    <row r="9" spans="1:20" s="13" customFormat="1" ht="16.5" thickBot="1">
      <c r="A9" s="34"/>
      <c r="B9" s="29"/>
      <c r="C9" s="21"/>
      <c r="D9" s="22"/>
      <c r="E9" s="20" t="s">
        <v>13</v>
      </c>
      <c r="F9" s="21"/>
      <c r="G9" s="98"/>
      <c r="H9" s="77"/>
      <c r="I9" s="77"/>
      <c r="J9" s="77"/>
      <c r="K9" s="22"/>
      <c r="L9" s="22"/>
      <c r="M9" s="22"/>
      <c r="N9" s="35"/>
      <c r="P9" s="16" t="s">
        <v>14</v>
      </c>
      <c r="S9" s="15" t="s">
        <v>15</v>
      </c>
    </row>
    <row r="10" spans="1:20" s="13" customFormat="1" ht="16.5" thickBot="1">
      <c r="A10" s="34"/>
      <c r="B10" s="20" t="s">
        <v>16</v>
      </c>
      <c r="C10" s="19" t="s">
        <v>17</v>
      </c>
      <c r="D10" s="23"/>
      <c r="E10" s="18" t="s">
        <v>18</v>
      </c>
      <c r="F10" s="21"/>
      <c r="G10" s="98"/>
      <c r="H10" s="77"/>
      <c r="I10" s="77"/>
      <c r="J10" s="77"/>
      <c r="K10" s="22"/>
      <c r="L10" s="22"/>
      <c r="M10" s="22"/>
      <c r="N10" s="35"/>
      <c r="P10" s="16"/>
      <c r="S10" s="15" t="s">
        <v>19</v>
      </c>
    </row>
    <row r="11" spans="1:20" s="13" customFormat="1">
      <c r="A11" s="34"/>
      <c r="B11" s="28"/>
      <c r="C11" s="21"/>
      <c r="D11" s="22"/>
      <c r="E11" s="22"/>
      <c r="F11" s="21"/>
      <c r="G11" s="98"/>
      <c r="H11" s="77"/>
      <c r="I11" s="77"/>
      <c r="J11" s="77"/>
      <c r="K11" s="22"/>
      <c r="L11" s="22"/>
      <c r="M11" s="22"/>
      <c r="N11" s="35"/>
      <c r="P11" s="16"/>
      <c r="S11" s="15" t="s">
        <v>18</v>
      </c>
    </row>
    <row r="12" spans="1:20" s="13" customFormat="1" ht="16.5" thickBot="1">
      <c r="A12" s="34"/>
      <c r="B12" s="28"/>
      <c r="C12" s="21"/>
      <c r="D12" s="22"/>
      <c r="E12" s="21"/>
      <c r="F12" s="21"/>
      <c r="G12" s="98"/>
      <c r="H12" s="77"/>
      <c r="I12" s="77"/>
      <c r="J12" s="77"/>
      <c r="K12" s="21"/>
      <c r="L12" s="21"/>
      <c r="M12" s="21"/>
      <c r="N12" s="35"/>
      <c r="P12" s="17" t="s">
        <v>20</v>
      </c>
      <c r="S12" s="15" t="s">
        <v>21</v>
      </c>
    </row>
    <row r="13" spans="1:20" s="13" customFormat="1" ht="16.5" thickBot="1">
      <c r="A13" s="34"/>
      <c r="B13" s="20" t="s">
        <v>22</v>
      </c>
      <c r="C13" s="19">
        <v>45567</v>
      </c>
      <c r="D13" s="23"/>
      <c r="E13" s="22"/>
      <c r="F13" s="22"/>
      <c r="G13" s="98"/>
      <c r="H13" s="77"/>
      <c r="I13" s="77"/>
      <c r="J13" s="77"/>
      <c r="K13" s="21"/>
      <c r="L13" s="21"/>
      <c r="M13" s="21"/>
      <c r="N13" s="35"/>
      <c r="P13" s="16" t="s">
        <v>17</v>
      </c>
      <c r="S13" s="15" t="s">
        <v>23</v>
      </c>
    </row>
    <row r="14" spans="1:20" s="13" customFormat="1">
      <c r="A14" s="34"/>
      <c r="B14" s="28"/>
      <c r="C14" s="21"/>
      <c r="D14" s="22"/>
      <c r="E14" s="22"/>
      <c r="F14" s="22"/>
      <c r="G14" s="98"/>
      <c r="H14" s="77"/>
      <c r="I14" s="77"/>
      <c r="J14" s="77"/>
      <c r="K14" s="22"/>
      <c r="L14" s="22"/>
      <c r="M14" s="22"/>
      <c r="N14" s="35"/>
      <c r="P14" s="16" t="s">
        <v>24</v>
      </c>
      <c r="S14" s="15" t="s">
        <v>25</v>
      </c>
    </row>
    <row r="15" spans="1:20" s="13" customFormat="1" ht="16.5" thickBot="1">
      <c r="A15" s="34"/>
      <c r="B15" s="22"/>
      <c r="C15" s="21"/>
      <c r="D15" s="22"/>
      <c r="E15" s="22"/>
      <c r="F15" s="22"/>
      <c r="G15" s="22"/>
      <c r="H15" s="22"/>
      <c r="I15" s="22"/>
      <c r="J15" s="22"/>
      <c r="K15" s="22"/>
      <c r="L15" s="22"/>
      <c r="M15" s="22"/>
      <c r="N15" s="35"/>
      <c r="P15" s="16" t="s">
        <v>26</v>
      </c>
      <c r="S15" s="15" t="s">
        <v>27</v>
      </c>
      <c r="T15" s="16"/>
    </row>
    <row r="16" spans="1:20" s="13" customFormat="1" ht="16.5" thickBot="1">
      <c r="A16" s="34"/>
      <c r="B16" s="20" t="s">
        <v>28</v>
      </c>
      <c r="C16" s="19">
        <v>45567</v>
      </c>
      <c r="D16" s="23"/>
      <c r="E16" s="22"/>
      <c r="F16" s="22"/>
      <c r="G16" s="98" t="s">
        <v>29</v>
      </c>
      <c r="H16" s="78"/>
      <c r="I16" s="79"/>
      <c r="J16" s="80"/>
      <c r="K16" s="22"/>
      <c r="L16" s="22"/>
      <c r="M16" s="22"/>
      <c r="N16" s="35"/>
      <c r="P16" s="16" t="s">
        <v>30</v>
      </c>
      <c r="S16" s="15" t="s">
        <v>31</v>
      </c>
    </row>
    <row r="17" spans="1:19" s="13" customFormat="1" ht="16.5" thickBot="1">
      <c r="A17" s="34"/>
      <c r="B17" s="28"/>
      <c r="C17" s="21"/>
      <c r="D17" s="22"/>
      <c r="E17" s="22"/>
      <c r="F17" s="22"/>
      <c r="G17" s="98"/>
      <c r="H17" s="81"/>
      <c r="I17" s="77"/>
      <c r="J17" s="82"/>
      <c r="K17" s="22"/>
      <c r="L17" s="22"/>
      <c r="M17" s="22"/>
      <c r="N17" s="35"/>
      <c r="P17" s="16" t="s">
        <v>32</v>
      </c>
      <c r="S17" s="15" t="s">
        <v>33</v>
      </c>
    </row>
    <row r="18" spans="1:19" s="13" customFormat="1">
      <c r="A18" s="34"/>
      <c r="B18" s="20" t="s">
        <v>34</v>
      </c>
      <c r="C18" s="89" t="s">
        <v>35</v>
      </c>
      <c r="D18" s="90"/>
      <c r="E18" s="91"/>
      <c r="F18" s="22"/>
      <c r="G18" s="98"/>
      <c r="H18" s="81"/>
      <c r="I18" s="77"/>
      <c r="J18" s="82"/>
      <c r="K18" s="22"/>
      <c r="L18" s="22"/>
      <c r="M18" s="22"/>
      <c r="N18" s="35"/>
      <c r="P18" s="16" t="s">
        <v>36</v>
      </c>
    </row>
    <row r="19" spans="1:19" s="13" customFormat="1" ht="16.5" thickBot="1">
      <c r="A19" s="34"/>
      <c r="B19" s="28"/>
      <c r="C19" s="21"/>
      <c r="D19" s="22"/>
      <c r="E19" s="22"/>
      <c r="F19" s="22"/>
      <c r="G19" s="98"/>
      <c r="H19" s="81"/>
      <c r="I19" s="77"/>
      <c r="J19" s="82"/>
      <c r="K19" s="22"/>
      <c r="L19" s="22"/>
      <c r="M19" s="22"/>
      <c r="N19" s="35"/>
      <c r="P19" s="16" t="s">
        <v>37</v>
      </c>
    </row>
    <row r="20" spans="1:19" s="13" customFormat="1">
      <c r="A20" s="34"/>
      <c r="B20" s="92" t="s">
        <v>38</v>
      </c>
      <c r="C20" s="94"/>
      <c r="D20" s="94"/>
      <c r="E20" s="95"/>
      <c r="F20" s="22"/>
      <c r="G20" s="98"/>
      <c r="H20" s="81"/>
      <c r="I20" s="77"/>
      <c r="J20" s="82"/>
      <c r="K20" s="22"/>
      <c r="L20" s="22"/>
      <c r="M20" s="22"/>
      <c r="N20" s="35"/>
      <c r="P20" s="16" t="s">
        <v>39</v>
      </c>
    </row>
    <row r="21" spans="1:19" s="13" customFormat="1">
      <c r="A21" s="34"/>
      <c r="B21" s="93"/>
      <c r="C21" s="96"/>
      <c r="D21" s="96"/>
      <c r="E21" s="97"/>
      <c r="F21" s="22"/>
      <c r="G21" s="98"/>
      <c r="H21" s="81"/>
      <c r="I21" s="77"/>
      <c r="J21" s="82"/>
      <c r="K21" s="22"/>
      <c r="L21" s="22"/>
      <c r="M21" s="22"/>
      <c r="N21" s="35"/>
      <c r="P21" s="16" t="s">
        <v>40</v>
      </c>
    </row>
    <row r="22" spans="1:19" s="13" customFormat="1" ht="16.5" thickBot="1">
      <c r="A22" s="34"/>
      <c r="B22" s="28"/>
      <c r="C22" s="21"/>
      <c r="D22" s="22"/>
      <c r="E22" s="22"/>
      <c r="F22" s="22"/>
      <c r="G22" s="98"/>
      <c r="H22" s="81"/>
      <c r="I22" s="77"/>
      <c r="J22" s="82"/>
      <c r="K22" s="22"/>
      <c r="L22" s="22"/>
      <c r="M22" s="22"/>
      <c r="N22" s="35"/>
      <c r="P22" s="13" t="s">
        <v>41</v>
      </c>
    </row>
    <row r="23" spans="1:19" s="13" customFormat="1" ht="16.5" thickBot="1">
      <c r="A23" s="34"/>
      <c r="B23" s="20" t="s">
        <v>42</v>
      </c>
      <c r="C23" s="86"/>
      <c r="D23" s="87"/>
      <c r="E23" s="88"/>
      <c r="F23" s="22"/>
      <c r="G23" s="98"/>
      <c r="H23" s="83"/>
      <c r="I23" s="84"/>
      <c r="J23" s="85"/>
      <c r="K23" s="22"/>
      <c r="L23" s="22"/>
      <c r="M23" s="22"/>
      <c r="N23" s="35"/>
    </row>
    <row r="24" spans="1:19" s="13" customFormat="1">
      <c r="A24" s="34"/>
      <c r="B24" s="24"/>
      <c r="C24" s="25"/>
      <c r="D24" s="25"/>
      <c r="E24" s="25"/>
      <c r="F24" s="22"/>
      <c r="G24" s="22"/>
      <c r="H24" s="26"/>
      <c r="I24" s="26"/>
      <c r="J24" s="26"/>
      <c r="K24" s="22"/>
      <c r="L24" s="22"/>
      <c r="M24" s="22"/>
      <c r="N24" s="35"/>
    </row>
    <row r="25" spans="1:19" s="13" customFormat="1">
      <c r="A25" s="34"/>
      <c r="B25" s="27"/>
      <c r="C25" s="21"/>
      <c r="D25" s="22"/>
      <c r="E25" s="22"/>
      <c r="F25" s="22"/>
      <c r="G25" s="22"/>
      <c r="H25" s="22"/>
      <c r="I25" s="22"/>
      <c r="J25" s="22"/>
      <c r="K25" s="22"/>
      <c r="L25" s="22"/>
      <c r="M25" s="22"/>
      <c r="N25" s="35"/>
    </row>
    <row r="26" spans="1:19" s="13" customFormat="1" ht="16.5" thickBot="1">
      <c r="A26" s="36"/>
      <c r="B26" s="37"/>
      <c r="C26" s="38"/>
      <c r="D26" s="39"/>
      <c r="E26" s="39"/>
      <c r="F26" s="39"/>
      <c r="G26" s="39"/>
      <c r="H26" s="39"/>
      <c r="I26" s="39"/>
      <c r="J26" s="39"/>
      <c r="K26" s="39"/>
      <c r="L26" s="39"/>
      <c r="M26" s="39"/>
      <c r="N26" s="40"/>
    </row>
    <row r="27" spans="1:19" ht="15.75" hidden="1" customHeight="1"/>
  </sheetData>
  <mergeCells count="10">
    <mergeCell ref="A1:I4"/>
    <mergeCell ref="J1:N4"/>
    <mergeCell ref="H7:J14"/>
    <mergeCell ref="H16:J23"/>
    <mergeCell ref="C23:E23"/>
    <mergeCell ref="C18:E18"/>
    <mergeCell ref="B20:B21"/>
    <mergeCell ref="C20:E21"/>
    <mergeCell ref="G7:G14"/>
    <mergeCell ref="G16:G23"/>
  </mergeCells>
  <dataValidations count="3">
    <dataValidation type="list" allowBlank="1" showInputMessage="1" showErrorMessage="1" sqref="C6" xr:uid="{BCDD6D07-42E9-474D-8DAC-31815FF2DA47}">
      <formula1>$P$6:$P$9</formula1>
    </dataValidation>
    <dataValidation type="list" allowBlank="1" showInputMessage="1" showErrorMessage="1" sqref="C10" xr:uid="{A6585646-0BAB-4902-9C70-5DE2C93C3D8F}">
      <formula1>$P$13:$P$30</formula1>
    </dataValidation>
    <dataValidation type="list" allowBlank="1" showInputMessage="1" showErrorMessage="1" sqref="E10" xr:uid="{538C095B-C330-4384-9031-8C3D6E71ABA9}">
      <formula1>$S$6:$S$17</formula1>
    </dataValidation>
  </dataValidations>
  <hyperlinks>
    <hyperlink ref="C18:E18" r:id="rId1" display="https://grupovanti.sharepoint.com/sites/GerenciadeRegulacin/Shared%20Documents/General/2023/Regulación%202024/129_07_2024_RE%20Respuesta%20al%20radicado%2020242302221631%20Calidad%20de%20la%20información%20cargada%20Vanti" xr:uid="{E3ED043C-E7B4-46B7-A685-505EC1C75FCD}"/>
    <hyperlink ref="C18" r:id="rId2" display="https://grupovanti.sharepoint.com/:f:/r/sites/GerenciadeRegulacin/Shared%20Documents/General/2023/Regulaci%C3%B3n%202024/183_10_2024%20Reporte%20de%20informaci%C3%B3n%20Investigaciones%20por%20Desviaciones%20Significativas%20y%20Usuarios%20con%20Consumos%20Estacionales?csf=1&amp;web=1&amp;e=JzSvw1" xr:uid="{5B5FEC66-4E73-436A-87BF-BC781E9A4F96}"/>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DF09D-F5C2-490A-A42F-630A373D72F2}">
  <sheetPr codeName="Hoja3"/>
  <dimension ref="A1:S516"/>
  <sheetViews>
    <sheetView tabSelected="1" zoomScaleNormal="100" workbookViewId="0">
      <pane ySplit="1" topLeftCell="A139" activePane="bottomLeft" state="frozen"/>
      <selection pane="bottomLeft" activeCell="B28" sqref="B28"/>
      <selection activeCell="C10" sqref="C10"/>
    </sheetView>
  </sheetViews>
  <sheetFormatPr defaultColWidth="0.140625" defaultRowHeight="14.25"/>
  <cols>
    <col min="1" max="1" width="18.42578125" style="63" bestFit="1" customWidth="1"/>
    <col min="2" max="2" width="17.42578125" style="42" bestFit="1" customWidth="1"/>
    <col min="3" max="3" width="44.28515625" style="42" customWidth="1"/>
    <col min="4" max="4" width="14.7109375" style="42" bestFit="1" customWidth="1"/>
    <col min="5" max="5" width="11.28515625" style="42" bestFit="1" customWidth="1"/>
    <col min="6" max="6" width="15.42578125" style="42" customWidth="1"/>
    <col min="7" max="7" width="99.140625" style="42" customWidth="1"/>
    <col min="8" max="8" width="34" style="42" customWidth="1"/>
    <col min="9" max="9" width="47" style="42" customWidth="1"/>
    <col min="10" max="10" width="7" style="42" bestFit="1" customWidth="1"/>
    <col min="11" max="11" width="22.7109375" style="42" bestFit="1" customWidth="1"/>
    <col min="12" max="12" width="7.85546875" style="42" customWidth="1"/>
    <col min="13" max="13" width="14.28515625" style="42" bestFit="1" customWidth="1"/>
    <col min="14" max="14" width="19" style="42" bestFit="1" customWidth="1"/>
    <col min="15" max="15" width="16.28515625" style="47" bestFit="1" customWidth="1"/>
    <col min="16" max="16" width="15.140625" style="47" bestFit="1" customWidth="1"/>
    <col min="17" max="17" width="15.140625" style="47" customWidth="1"/>
    <col min="18" max="18" width="17.5703125" style="47" customWidth="1"/>
    <col min="19" max="19" width="4.7109375" style="47" hidden="1" customWidth="1"/>
    <col min="20" max="20" width="0.140625" style="47" customWidth="1"/>
    <col min="21" max="16384" width="0.140625" style="47"/>
  </cols>
  <sheetData>
    <row r="1" spans="1:18" ht="37.5" customHeight="1">
      <c r="A1" s="62" t="s">
        <v>43</v>
      </c>
      <c r="B1" s="47" t="s">
        <v>44</v>
      </c>
      <c r="C1" s="42" t="s">
        <v>45</v>
      </c>
      <c r="D1" s="47" t="s">
        <v>46</v>
      </c>
      <c r="E1" s="47" t="s">
        <v>47</v>
      </c>
      <c r="F1" s="47" t="s">
        <v>48</v>
      </c>
      <c r="G1" s="47" t="s">
        <v>49</v>
      </c>
      <c r="H1" s="47" t="s">
        <v>50</v>
      </c>
      <c r="I1" s="47" t="s">
        <v>51</v>
      </c>
      <c r="J1" s="47" t="s">
        <v>52</v>
      </c>
      <c r="K1" s="47" t="s">
        <v>13</v>
      </c>
      <c r="L1" s="47" t="s">
        <v>53</v>
      </c>
      <c r="M1" s="47" t="s">
        <v>54</v>
      </c>
      <c r="N1" s="47" t="s">
        <v>55</v>
      </c>
      <c r="O1" s="47" t="s">
        <v>56</v>
      </c>
      <c r="P1" s="47" t="s">
        <v>57</v>
      </c>
      <c r="Q1" s="47" t="s">
        <v>58</v>
      </c>
      <c r="R1" s="42" t="s">
        <v>59</v>
      </c>
    </row>
    <row r="2" spans="1:18" ht="37.5" customHeight="1">
      <c r="A2" s="63">
        <v>45566</v>
      </c>
      <c r="B2" s="42" t="s">
        <v>17</v>
      </c>
      <c r="C2" s="42" t="s">
        <v>6</v>
      </c>
      <c r="D2" s="60">
        <v>45567</v>
      </c>
      <c r="E2" s="60">
        <v>45567</v>
      </c>
      <c r="G2" s="48" t="s">
        <v>35</v>
      </c>
      <c r="H2" s="48"/>
      <c r="I2" s="48"/>
      <c r="J2" s="42" t="s">
        <v>3</v>
      </c>
      <c r="K2" s="42" t="s">
        <v>18</v>
      </c>
      <c r="L2" s="48" t="str">
        <f>IF(Tabla2[[#This Row],[Fecha de Resp]]&gt;Tabla2[[#This Row],[Fecha MAX de Resp]],"Retrasado",IF(Tabla2[[#This Row],[Fecha de Resp]]=0,"Pendiente",IF(Tabla2[[#This Row],[Fecha de Resp]]&lt;=Tabla2[[#This Row],[Fecha MAX de Resp]],"A Tiempo",0)))</f>
        <v>A Tiempo</v>
      </c>
      <c r="M2" s="48"/>
      <c r="N2" s="48"/>
      <c r="O2" s="48" t="b">
        <f>EXACT(Tabla2[[#This Row],[Fecha de Recibido]],Tabla2[[#This Row],[Fecha MAX de Resp]])</f>
        <v>0</v>
      </c>
      <c r="P2" s="48" t="b">
        <f>EXACT(Tabla2[[#This Row],[Fecha de Recibido]],Tabla2[[#This Row],[Fecha de Resp]])</f>
        <v>0</v>
      </c>
      <c r="Q2" s="45">
        <f>DATE(YEAR(Tabla2[[#This Row],[Fecha de Recibido]]),MONTH(Tabla2[[#This Row],[Fecha de Recibido]]),1)</f>
        <v>45566</v>
      </c>
      <c r="R2" s="57" t="s">
        <v>60</v>
      </c>
    </row>
    <row r="3" spans="1:18" ht="37.5" customHeight="1">
      <c r="A3" s="63">
        <v>45567</v>
      </c>
      <c r="B3" s="42" t="s">
        <v>26</v>
      </c>
      <c r="C3" s="42" t="s">
        <v>61</v>
      </c>
      <c r="D3" s="60">
        <v>45567</v>
      </c>
      <c r="E3" s="60">
        <v>45567</v>
      </c>
      <c r="G3" s="43" t="s">
        <v>62</v>
      </c>
      <c r="H3" s="43"/>
      <c r="I3" s="43"/>
      <c r="J3" s="43" t="s">
        <v>8</v>
      </c>
      <c r="K3" s="43" t="s">
        <v>31</v>
      </c>
      <c r="L3" s="44" t="str">
        <f>IF(Tabla2[[#This Row],[Fecha de Resp]]&gt;Tabla2[[#This Row],[Fecha MAX de Resp]],"Retrasado",IF(Tabla2[[#This Row],[Fecha de Resp]]=0,"Pendiente",IF(Tabla2[[#This Row],[Fecha de Resp]]&lt;=Tabla2[[#This Row],[Fecha MAX de Resp]],"A Tiempo",0)))</f>
        <v>A Tiempo</v>
      </c>
      <c r="M3" s="43"/>
      <c r="N3" s="44"/>
      <c r="O3" s="44" t="b">
        <f>EXACT(Tabla2[[#This Row],[Fecha de Recibido]],Tabla2[[#This Row],[Fecha MAX de Resp]])</f>
        <v>1</v>
      </c>
      <c r="P3" s="44" t="b">
        <f>EXACT(Tabla2[[#This Row],[Fecha de Recibido]],Tabla2[[#This Row],[Fecha de Resp]])</f>
        <v>1</v>
      </c>
      <c r="Q3" s="45">
        <f>DATE(YEAR(Tabla2[[#This Row],[Fecha de Recibido]]),MONTH(Tabla2[[#This Row],[Fecha de Recibido]]),1)</f>
        <v>45566</v>
      </c>
      <c r="R3" s="45" t="s">
        <v>63</v>
      </c>
    </row>
    <row r="4" spans="1:18" ht="37.5" customHeight="1">
      <c r="A4" s="63">
        <v>45555</v>
      </c>
      <c r="B4" s="42" t="s">
        <v>26</v>
      </c>
      <c r="C4" s="42" t="s">
        <v>64</v>
      </c>
      <c r="D4" s="60">
        <v>45555</v>
      </c>
      <c r="E4" s="60">
        <v>45555</v>
      </c>
      <c r="G4" s="43" t="s">
        <v>65</v>
      </c>
      <c r="H4" s="43"/>
      <c r="I4" s="43"/>
      <c r="J4" s="43" t="s">
        <v>3</v>
      </c>
      <c r="K4" s="43" t="s">
        <v>31</v>
      </c>
      <c r="L4" s="44" t="str">
        <f>IF(Tabla2[[#This Row],[Fecha de Resp]]&gt;Tabla2[[#This Row],[Fecha MAX de Resp]],"Retrasado",IF(Tabla2[[#This Row],[Fecha de Resp]]=0,"Pendiente",IF(Tabla2[[#This Row],[Fecha de Resp]]&lt;=Tabla2[[#This Row],[Fecha MAX de Resp]],"A Tiempo",0)))</f>
        <v>A Tiempo</v>
      </c>
      <c r="M4" s="43"/>
      <c r="N4" s="44"/>
      <c r="O4" s="44" t="b">
        <f>EXACT(Tabla2[[#This Row],[Fecha de Recibido]],Tabla2[[#This Row],[Fecha MAX de Resp]])</f>
        <v>1</v>
      </c>
      <c r="P4" s="44" t="b">
        <f>EXACT(Tabla2[[#This Row],[Fecha de Recibido]],Tabla2[[#This Row],[Fecha de Resp]])</f>
        <v>1</v>
      </c>
      <c r="Q4" s="45">
        <f>DATE(YEAR(Tabla2[[#This Row],[Fecha de Recibido]]),MONTH(Tabla2[[#This Row],[Fecha de Recibido]]),1)</f>
        <v>45536</v>
      </c>
      <c r="R4" s="45" t="s">
        <v>63</v>
      </c>
    </row>
    <row r="5" spans="1:18" ht="37.5" customHeight="1">
      <c r="A5" s="63">
        <v>45555</v>
      </c>
      <c r="B5" s="42" t="s">
        <v>17</v>
      </c>
      <c r="C5" s="42" t="s">
        <v>66</v>
      </c>
      <c r="D5" s="60">
        <v>45555</v>
      </c>
      <c r="E5" s="60">
        <v>45555</v>
      </c>
      <c r="G5" s="43" t="s">
        <v>67</v>
      </c>
      <c r="H5" s="43"/>
      <c r="I5" s="43"/>
      <c r="J5" s="43" t="s">
        <v>3</v>
      </c>
      <c r="K5" s="43" t="s">
        <v>4</v>
      </c>
      <c r="L5" s="44" t="str">
        <f>IF(Tabla2[[#This Row],[Fecha de Resp]]&gt;Tabla2[[#This Row],[Fecha MAX de Resp]],"Retrasado",IF(Tabla2[[#This Row],[Fecha de Resp]]=0,"Pendiente",IF(Tabla2[[#This Row],[Fecha de Resp]]&lt;=Tabla2[[#This Row],[Fecha MAX de Resp]],"A Tiempo",0)))</f>
        <v>A Tiempo</v>
      </c>
      <c r="M5" s="43"/>
      <c r="N5" s="44"/>
      <c r="O5" s="44" t="b">
        <f>EXACT(Tabla2[[#This Row],[Fecha de Recibido]],Tabla2[[#This Row],[Fecha MAX de Resp]])</f>
        <v>1</v>
      </c>
      <c r="P5" s="44" t="b">
        <f>EXACT(Tabla2[[#This Row],[Fecha de Recibido]],Tabla2[[#This Row],[Fecha de Resp]])</f>
        <v>1</v>
      </c>
      <c r="Q5" s="45">
        <f>DATE(YEAR(Tabla2[[#This Row],[Fecha de Recibido]]),MONTH(Tabla2[[#This Row],[Fecha de Recibido]]),1)</f>
        <v>45536</v>
      </c>
      <c r="R5" s="45" t="s">
        <v>63</v>
      </c>
    </row>
    <row r="6" spans="1:18" ht="37.5" customHeight="1">
      <c r="A6" s="63">
        <v>45548</v>
      </c>
      <c r="B6" s="42" t="s">
        <v>30</v>
      </c>
      <c r="C6" s="42" t="s">
        <v>68</v>
      </c>
      <c r="D6" s="60">
        <v>45548</v>
      </c>
      <c r="E6" s="60">
        <v>45548</v>
      </c>
      <c r="G6" s="43" t="s">
        <v>69</v>
      </c>
      <c r="H6" s="43"/>
      <c r="I6" s="43"/>
      <c r="J6" s="43" t="s">
        <v>11</v>
      </c>
      <c r="K6" s="43" t="s">
        <v>4</v>
      </c>
      <c r="L6" s="44" t="str">
        <f>IF(Tabla2[[#This Row],[Fecha de Resp]]&gt;Tabla2[[#This Row],[Fecha MAX de Resp]],"Retrasado",IF(Tabla2[[#This Row],[Fecha de Resp]]=0,"Pendiente",IF(Tabla2[[#This Row],[Fecha de Resp]]&lt;=Tabla2[[#This Row],[Fecha MAX de Resp]],"A Tiempo",0)))</f>
        <v>A Tiempo</v>
      </c>
      <c r="M6" s="43"/>
      <c r="N6" s="44"/>
      <c r="O6" s="44" t="b">
        <f>EXACT(Tabla2[[#This Row],[Fecha de Recibido]],Tabla2[[#This Row],[Fecha MAX de Resp]])</f>
        <v>1</v>
      </c>
      <c r="P6" s="44" t="b">
        <f>EXACT(Tabla2[[#This Row],[Fecha de Recibido]],Tabla2[[#This Row],[Fecha de Resp]])</f>
        <v>1</v>
      </c>
      <c r="Q6" s="45">
        <f>DATE(YEAR(Tabla2[[#This Row],[Fecha de Recibido]]),MONTH(Tabla2[[#This Row],[Fecha de Recibido]]),1)</f>
        <v>45536</v>
      </c>
      <c r="R6" s="45" t="s">
        <v>63</v>
      </c>
    </row>
    <row r="7" spans="1:18" ht="37.5" customHeight="1">
      <c r="A7" s="63">
        <v>45548</v>
      </c>
      <c r="B7" s="42" t="s">
        <v>30</v>
      </c>
      <c r="C7" s="42" t="s">
        <v>70</v>
      </c>
      <c r="D7" s="60">
        <v>45548</v>
      </c>
      <c r="E7" s="60">
        <v>45548</v>
      </c>
      <c r="G7" s="43" t="s">
        <v>71</v>
      </c>
      <c r="H7" s="43"/>
      <c r="I7" s="43"/>
      <c r="J7" s="43" t="s">
        <v>11</v>
      </c>
      <c r="K7" s="43" t="s">
        <v>4</v>
      </c>
      <c r="L7" s="44" t="str">
        <f>IF(Tabla2[[#This Row],[Fecha de Resp]]&gt;Tabla2[[#This Row],[Fecha MAX de Resp]],"Retrasado",IF(Tabla2[[#This Row],[Fecha de Resp]]=0,"Pendiente",IF(Tabla2[[#This Row],[Fecha de Resp]]&lt;=Tabla2[[#This Row],[Fecha MAX de Resp]],"A Tiempo",0)))</f>
        <v>A Tiempo</v>
      </c>
      <c r="M7" s="43"/>
      <c r="N7" s="44"/>
      <c r="O7" s="44" t="b">
        <f>EXACT(Tabla2[[#This Row],[Fecha de Recibido]],Tabla2[[#This Row],[Fecha MAX de Resp]])</f>
        <v>1</v>
      </c>
      <c r="P7" s="44" t="b">
        <f>EXACT(Tabla2[[#This Row],[Fecha de Recibido]],Tabla2[[#This Row],[Fecha de Resp]])</f>
        <v>1</v>
      </c>
      <c r="Q7" s="45">
        <f>DATE(YEAR(Tabla2[[#This Row],[Fecha de Recibido]]),MONTH(Tabla2[[#This Row],[Fecha de Recibido]]),1)</f>
        <v>45536</v>
      </c>
      <c r="R7" s="45" t="s">
        <v>63</v>
      </c>
    </row>
    <row r="8" spans="1:18" ht="37.5" customHeight="1">
      <c r="A8" s="63">
        <v>45548</v>
      </c>
      <c r="B8" s="42" t="s">
        <v>30</v>
      </c>
      <c r="C8" s="42" t="s">
        <v>72</v>
      </c>
      <c r="D8" s="60">
        <v>45548</v>
      </c>
      <c r="E8" s="60">
        <v>45548</v>
      </c>
      <c r="G8" s="43" t="s">
        <v>73</v>
      </c>
      <c r="H8" s="43"/>
      <c r="I8" s="43"/>
      <c r="J8" s="43" t="s">
        <v>14</v>
      </c>
      <c r="K8" s="43" t="s">
        <v>4</v>
      </c>
      <c r="L8" s="44" t="str">
        <f>IF(Tabla2[[#This Row],[Fecha de Resp]]&gt;Tabla2[[#This Row],[Fecha MAX de Resp]],"Retrasado",IF(Tabla2[[#This Row],[Fecha de Resp]]=0,"Pendiente",IF(Tabla2[[#This Row],[Fecha de Resp]]&lt;=Tabla2[[#This Row],[Fecha MAX de Resp]],"A Tiempo",0)))</f>
        <v>A Tiempo</v>
      </c>
      <c r="M8" s="43"/>
      <c r="N8" s="44"/>
      <c r="O8" s="44" t="b">
        <f>EXACT(Tabla2[[#This Row],[Fecha de Recibido]],Tabla2[[#This Row],[Fecha MAX de Resp]])</f>
        <v>1</v>
      </c>
      <c r="P8" s="44" t="b">
        <f>EXACT(Tabla2[[#This Row],[Fecha de Recibido]],Tabla2[[#This Row],[Fecha de Resp]])</f>
        <v>1</v>
      </c>
      <c r="Q8" s="45">
        <f>DATE(YEAR(Tabla2[[#This Row],[Fecha de Recibido]]),MONTH(Tabla2[[#This Row],[Fecha de Recibido]]),1)</f>
        <v>45536</v>
      </c>
      <c r="R8" s="45" t="s">
        <v>63</v>
      </c>
    </row>
    <row r="9" spans="1:18" ht="37.5" customHeight="1">
      <c r="A9" s="63">
        <v>45548</v>
      </c>
      <c r="B9" s="42" t="s">
        <v>30</v>
      </c>
      <c r="C9" s="42" t="s">
        <v>74</v>
      </c>
      <c r="D9" s="60">
        <v>45548</v>
      </c>
      <c r="E9" s="60">
        <v>45548</v>
      </c>
      <c r="G9" s="43" t="s">
        <v>75</v>
      </c>
      <c r="H9" s="43"/>
      <c r="I9" s="43"/>
      <c r="J9" s="43" t="s">
        <v>8</v>
      </c>
      <c r="K9" s="43" t="s">
        <v>4</v>
      </c>
      <c r="L9" s="44" t="str">
        <f>IF(Tabla2[[#This Row],[Fecha de Resp]]&gt;Tabla2[[#This Row],[Fecha MAX de Resp]],"Retrasado",IF(Tabla2[[#This Row],[Fecha de Resp]]=0,"Pendiente",IF(Tabla2[[#This Row],[Fecha de Resp]]&lt;=Tabla2[[#This Row],[Fecha MAX de Resp]],"A Tiempo",0)))</f>
        <v>A Tiempo</v>
      </c>
      <c r="M9" s="43"/>
      <c r="N9" s="44"/>
      <c r="O9" s="44" t="b">
        <f>EXACT(Tabla2[[#This Row],[Fecha de Recibido]],Tabla2[[#This Row],[Fecha MAX de Resp]])</f>
        <v>1</v>
      </c>
      <c r="P9" s="44" t="b">
        <f>EXACT(Tabla2[[#This Row],[Fecha de Recibido]],Tabla2[[#This Row],[Fecha de Resp]])</f>
        <v>1</v>
      </c>
      <c r="Q9" s="45">
        <f>DATE(YEAR(Tabla2[[#This Row],[Fecha de Recibido]]),MONTH(Tabla2[[#This Row],[Fecha de Recibido]]),1)</f>
        <v>45536</v>
      </c>
      <c r="R9" s="45" t="s">
        <v>63</v>
      </c>
    </row>
    <row r="10" spans="1:18" ht="37.5" customHeight="1">
      <c r="A10" s="63">
        <v>45558</v>
      </c>
      <c r="B10" s="42" t="s">
        <v>17</v>
      </c>
      <c r="C10" s="42" t="s">
        <v>76</v>
      </c>
      <c r="D10" s="60">
        <v>45558</v>
      </c>
      <c r="E10" s="60">
        <v>45558</v>
      </c>
      <c r="G10" s="43" t="s">
        <v>77</v>
      </c>
      <c r="H10" s="43"/>
      <c r="I10" s="43"/>
      <c r="J10" s="43" t="s">
        <v>8</v>
      </c>
      <c r="K10" s="43" t="s">
        <v>9</v>
      </c>
      <c r="L10" s="44" t="str">
        <f>IF(Tabla2[[#This Row],[Fecha de Resp]]&gt;Tabla2[[#This Row],[Fecha MAX de Resp]],"Retrasado",IF(Tabla2[[#This Row],[Fecha de Resp]]=0,"Pendiente",IF(Tabla2[[#This Row],[Fecha de Resp]]&lt;=Tabla2[[#This Row],[Fecha MAX de Resp]],"A Tiempo",0)))</f>
        <v>A Tiempo</v>
      </c>
      <c r="M10" s="43"/>
      <c r="N10" s="44"/>
      <c r="O10" s="44" t="b">
        <f>EXACT(Tabla2[[#This Row],[Fecha de Recibido]],Tabla2[[#This Row],[Fecha MAX de Resp]])</f>
        <v>1</v>
      </c>
      <c r="P10" s="44" t="b">
        <f>EXACT(Tabla2[[#This Row],[Fecha de Recibido]],Tabla2[[#This Row],[Fecha de Resp]])</f>
        <v>1</v>
      </c>
      <c r="Q10" s="45">
        <f>DATE(YEAR(Tabla2[[#This Row],[Fecha de Recibido]]),MONTH(Tabla2[[#This Row],[Fecha de Recibido]]),1)</f>
        <v>45536</v>
      </c>
      <c r="R10" s="45" t="s">
        <v>63</v>
      </c>
    </row>
    <row r="11" spans="1:18" ht="37.5" customHeight="1">
      <c r="A11" s="63">
        <v>45545</v>
      </c>
      <c r="B11" s="42" t="s">
        <v>17</v>
      </c>
      <c r="C11" s="42" t="s">
        <v>78</v>
      </c>
      <c r="D11" s="60">
        <v>45545</v>
      </c>
      <c r="E11" s="60">
        <v>45545</v>
      </c>
      <c r="G11" s="43" t="s">
        <v>79</v>
      </c>
      <c r="H11" s="43"/>
      <c r="I11" s="43"/>
      <c r="J11" s="43" t="s">
        <v>3</v>
      </c>
      <c r="K11" s="43" t="s">
        <v>9</v>
      </c>
      <c r="L11" s="44" t="str">
        <f>IF(Tabla2[[#This Row],[Fecha de Resp]]&gt;Tabla2[[#This Row],[Fecha MAX de Resp]],"Retrasado",IF(Tabla2[[#This Row],[Fecha de Resp]]=0,"Pendiente",IF(Tabla2[[#This Row],[Fecha de Resp]]&lt;=Tabla2[[#This Row],[Fecha MAX de Resp]],"A Tiempo",0)))</f>
        <v>A Tiempo</v>
      </c>
      <c r="M11" s="43"/>
      <c r="N11" s="44"/>
      <c r="O11" s="44" t="b">
        <f>EXACT(Tabla2[[#This Row],[Fecha de Recibido]],Tabla2[[#This Row],[Fecha MAX de Resp]])</f>
        <v>1</v>
      </c>
      <c r="P11" s="44" t="b">
        <f>EXACT(Tabla2[[#This Row],[Fecha de Recibido]],Tabla2[[#This Row],[Fecha de Resp]])</f>
        <v>1</v>
      </c>
      <c r="Q11" s="45">
        <f>DATE(YEAR(Tabla2[[#This Row],[Fecha de Recibido]]),MONTH(Tabla2[[#This Row],[Fecha de Recibido]]),1)</f>
        <v>45536</v>
      </c>
      <c r="R11" s="45" t="s">
        <v>63</v>
      </c>
    </row>
    <row r="12" spans="1:18" ht="37.5" customHeight="1">
      <c r="A12" s="63">
        <v>45533</v>
      </c>
      <c r="B12" s="42" t="s">
        <v>17</v>
      </c>
      <c r="C12" s="42" t="s">
        <v>80</v>
      </c>
      <c r="D12" s="60">
        <v>45533</v>
      </c>
      <c r="E12" s="60">
        <v>45533</v>
      </c>
      <c r="G12" s="43" t="s">
        <v>81</v>
      </c>
      <c r="H12" s="43"/>
      <c r="I12" s="43"/>
      <c r="J12" s="43" t="s">
        <v>3</v>
      </c>
      <c r="K12" s="43" t="s">
        <v>9</v>
      </c>
      <c r="L12" s="44" t="str">
        <f>IF(Tabla2[[#This Row],[Fecha de Resp]]&gt;Tabla2[[#This Row],[Fecha MAX de Resp]],"Retrasado",IF(Tabla2[[#This Row],[Fecha de Resp]]=0,"Pendiente",IF(Tabla2[[#This Row],[Fecha de Resp]]&lt;=Tabla2[[#This Row],[Fecha MAX de Resp]],"A Tiempo",0)))</f>
        <v>A Tiempo</v>
      </c>
      <c r="M12" s="43"/>
      <c r="N12" s="44"/>
      <c r="O12" s="44" t="b">
        <f>EXACT(Tabla2[[#This Row],[Fecha de Recibido]],Tabla2[[#This Row],[Fecha MAX de Resp]])</f>
        <v>1</v>
      </c>
      <c r="P12" s="44" t="b">
        <f>EXACT(Tabla2[[#This Row],[Fecha de Recibido]],Tabla2[[#This Row],[Fecha de Resp]])</f>
        <v>1</v>
      </c>
      <c r="Q12" s="45">
        <f>DATE(YEAR(Tabla2[[#This Row],[Fecha de Recibido]]),MONTH(Tabla2[[#This Row],[Fecha de Recibido]]),1)</f>
        <v>45505</v>
      </c>
      <c r="R12" s="45" t="s">
        <v>63</v>
      </c>
    </row>
    <row r="13" spans="1:18" ht="37.5" customHeight="1">
      <c r="A13" s="63">
        <v>45526</v>
      </c>
      <c r="B13" s="42" t="s">
        <v>17</v>
      </c>
      <c r="C13" s="42" t="s">
        <v>82</v>
      </c>
      <c r="D13" s="60">
        <v>45526</v>
      </c>
      <c r="E13" s="60">
        <v>45526</v>
      </c>
      <c r="G13" s="43" t="s">
        <v>83</v>
      </c>
      <c r="H13" s="43"/>
      <c r="I13" s="43"/>
      <c r="J13" s="43" t="s">
        <v>14</v>
      </c>
      <c r="K13" s="43" t="s">
        <v>9</v>
      </c>
      <c r="L13" s="44" t="str">
        <f>IF(Tabla2[[#This Row],[Fecha de Resp]]&gt;Tabla2[[#This Row],[Fecha MAX de Resp]],"Retrasado",IF(Tabla2[[#This Row],[Fecha de Resp]]=0,"Pendiente",IF(Tabla2[[#This Row],[Fecha de Resp]]&lt;=Tabla2[[#This Row],[Fecha MAX de Resp]],"A Tiempo",0)))</f>
        <v>A Tiempo</v>
      </c>
      <c r="M13" s="43"/>
      <c r="N13" s="44"/>
      <c r="O13" s="44" t="b">
        <f>EXACT(Tabla2[[#This Row],[Fecha de Recibido]],Tabla2[[#This Row],[Fecha MAX de Resp]])</f>
        <v>1</v>
      </c>
      <c r="P13" s="44" t="b">
        <f>EXACT(Tabla2[[#This Row],[Fecha de Recibido]],Tabla2[[#This Row],[Fecha de Resp]])</f>
        <v>1</v>
      </c>
      <c r="Q13" s="45">
        <f>DATE(YEAR(Tabla2[[#This Row],[Fecha de Recibido]]),MONTH(Tabla2[[#This Row],[Fecha de Recibido]]),1)</f>
        <v>45505</v>
      </c>
      <c r="R13" s="45" t="s">
        <v>63</v>
      </c>
    </row>
    <row r="14" spans="1:18" ht="37.5" customHeight="1">
      <c r="A14" s="63">
        <v>45526</v>
      </c>
      <c r="B14" s="42" t="s">
        <v>41</v>
      </c>
      <c r="C14" s="42" t="s">
        <v>84</v>
      </c>
      <c r="D14" s="60">
        <v>45526</v>
      </c>
      <c r="E14" s="60">
        <v>45526</v>
      </c>
      <c r="G14" s="43" t="s">
        <v>85</v>
      </c>
      <c r="H14" s="43"/>
      <c r="I14" s="43"/>
      <c r="J14" s="43" t="s">
        <v>3</v>
      </c>
      <c r="K14" s="43" t="s">
        <v>9</v>
      </c>
      <c r="L14" s="44" t="str">
        <f>IF(Tabla2[[#This Row],[Fecha de Resp]]&gt;Tabla2[[#This Row],[Fecha MAX de Resp]],"Retrasado",IF(Tabla2[[#This Row],[Fecha de Resp]]=0,"Pendiente",IF(Tabla2[[#This Row],[Fecha de Resp]]&lt;=Tabla2[[#This Row],[Fecha MAX de Resp]],"A Tiempo",0)))</f>
        <v>A Tiempo</v>
      </c>
      <c r="M14" s="43"/>
      <c r="N14" s="44"/>
      <c r="O14" s="44" t="b">
        <f>EXACT(Tabla2[[#This Row],[Fecha de Recibido]],Tabla2[[#This Row],[Fecha MAX de Resp]])</f>
        <v>1</v>
      </c>
      <c r="P14" s="44" t="b">
        <f>EXACT(Tabla2[[#This Row],[Fecha de Recibido]],Tabla2[[#This Row],[Fecha de Resp]])</f>
        <v>1</v>
      </c>
      <c r="Q14" s="45">
        <f>DATE(YEAR(Tabla2[[#This Row],[Fecha de Recibido]]),MONTH(Tabla2[[#This Row],[Fecha de Recibido]]),1)</f>
        <v>45505</v>
      </c>
      <c r="R14" s="45" t="s">
        <v>63</v>
      </c>
    </row>
    <row r="15" spans="1:18" ht="37.5" customHeight="1">
      <c r="A15" s="63">
        <v>45524</v>
      </c>
      <c r="B15" s="42" t="s">
        <v>17</v>
      </c>
      <c r="C15" s="42" t="s">
        <v>86</v>
      </c>
      <c r="D15" s="60">
        <v>45525</v>
      </c>
      <c r="E15" s="60">
        <v>45524</v>
      </c>
      <c r="G15" s="43" t="s">
        <v>87</v>
      </c>
      <c r="H15" s="43"/>
      <c r="I15" s="43"/>
      <c r="J15" s="43" t="s">
        <v>11</v>
      </c>
      <c r="K15" s="43" t="s">
        <v>12</v>
      </c>
      <c r="L15" s="44" t="str">
        <f>IF(Tabla2[[#This Row],[Fecha de Resp]]&gt;Tabla2[[#This Row],[Fecha MAX de Resp]],"Retrasado",IF(Tabla2[[#This Row],[Fecha de Resp]]=0,"Pendiente",IF(Tabla2[[#This Row],[Fecha de Resp]]&lt;=Tabla2[[#This Row],[Fecha MAX de Resp]],"A Tiempo",0)))</f>
        <v>A Tiempo</v>
      </c>
      <c r="M15" s="43"/>
      <c r="N15" s="44"/>
      <c r="O15" s="44" t="b">
        <f>EXACT(Tabla2[[#This Row],[Fecha de Recibido]],Tabla2[[#This Row],[Fecha MAX de Resp]])</f>
        <v>0</v>
      </c>
      <c r="P15" s="44" t="b">
        <f>EXACT(Tabla2[[#This Row],[Fecha de Recibido]],Tabla2[[#This Row],[Fecha de Resp]])</f>
        <v>1</v>
      </c>
      <c r="Q15" s="45">
        <f>DATE(YEAR(Tabla2[[#This Row],[Fecha de Recibido]]),MONTH(Tabla2[[#This Row],[Fecha de Recibido]]),1)</f>
        <v>45505</v>
      </c>
      <c r="R15" s="45" t="s">
        <v>63</v>
      </c>
    </row>
    <row r="16" spans="1:18" ht="37.5" customHeight="1">
      <c r="A16" s="63">
        <v>45526</v>
      </c>
      <c r="B16" s="42" t="s">
        <v>17</v>
      </c>
      <c r="C16" s="42" t="s">
        <v>88</v>
      </c>
      <c r="D16" s="60">
        <v>45526</v>
      </c>
      <c r="E16" s="60">
        <v>45526</v>
      </c>
      <c r="G16" s="43" t="s">
        <v>89</v>
      </c>
      <c r="H16" s="43"/>
      <c r="I16" s="43"/>
      <c r="J16" s="43" t="s">
        <v>3</v>
      </c>
      <c r="K16" s="43" t="s">
        <v>4</v>
      </c>
      <c r="L16" s="44" t="str">
        <f>IF(Tabla2[[#This Row],[Fecha de Resp]]&gt;Tabla2[[#This Row],[Fecha MAX de Resp]],"Retrasado",IF(Tabla2[[#This Row],[Fecha de Resp]]=0,"Pendiente",IF(Tabla2[[#This Row],[Fecha de Resp]]&lt;=Tabla2[[#This Row],[Fecha MAX de Resp]],"A Tiempo",0)))</f>
        <v>A Tiempo</v>
      </c>
      <c r="M16" s="43"/>
      <c r="N16" s="44"/>
      <c r="O16" s="44" t="b">
        <f>EXACT(Tabla2[[#This Row],[Fecha de Recibido]],Tabla2[[#This Row],[Fecha MAX de Resp]])</f>
        <v>1</v>
      </c>
      <c r="P16" s="44" t="b">
        <f>EXACT(Tabla2[[#This Row],[Fecha de Recibido]],Tabla2[[#This Row],[Fecha de Resp]])</f>
        <v>1</v>
      </c>
      <c r="Q16" s="45">
        <f>DATE(YEAR(Tabla2[[#This Row],[Fecha de Recibido]]),MONTH(Tabla2[[#This Row],[Fecha de Recibido]]),1)</f>
        <v>45505</v>
      </c>
      <c r="R16" s="45" t="s">
        <v>63</v>
      </c>
    </row>
    <row r="17" spans="1:18" ht="37.5" customHeight="1">
      <c r="A17" s="63">
        <v>45518</v>
      </c>
      <c r="B17" s="42" t="s">
        <v>17</v>
      </c>
      <c r="C17" s="42" t="s">
        <v>90</v>
      </c>
      <c r="D17" s="60">
        <v>45518</v>
      </c>
      <c r="E17" s="60">
        <v>45518</v>
      </c>
      <c r="G17" s="43" t="s">
        <v>91</v>
      </c>
      <c r="H17" s="43"/>
      <c r="I17" s="43"/>
      <c r="J17" s="43" t="s">
        <v>11</v>
      </c>
      <c r="K17" s="43" t="s">
        <v>12</v>
      </c>
      <c r="L17" s="44" t="str">
        <f>IF(Tabla2[[#This Row],[Fecha de Resp]]&gt;Tabla2[[#This Row],[Fecha MAX de Resp]],"Retrasado",IF(Tabla2[[#This Row],[Fecha de Resp]]=0,"Pendiente",IF(Tabla2[[#This Row],[Fecha de Resp]]&lt;=Tabla2[[#This Row],[Fecha MAX de Resp]],"A Tiempo",0)))</f>
        <v>A Tiempo</v>
      </c>
      <c r="M17" s="43"/>
      <c r="N17" s="44"/>
      <c r="O17" s="44" t="b">
        <f>EXACT(Tabla2[[#This Row],[Fecha de Recibido]],Tabla2[[#This Row],[Fecha MAX de Resp]])</f>
        <v>1</v>
      </c>
      <c r="P17" s="44" t="b">
        <f>EXACT(Tabla2[[#This Row],[Fecha de Recibido]],Tabla2[[#This Row],[Fecha de Resp]])</f>
        <v>1</v>
      </c>
      <c r="Q17" s="45">
        <f>DATE(YEAR(Tabla2[[#This Row],[Fecha de Recibido]]),MONTH(Tabla2[[#This Row],[Fecha de Recibido]]),1)</f>
        <v>45505</v>
      </c>
      <c r="R17" s="45" t="s">
        <v>63</v>
      </c>
    </row>
    <row r="18" spans="1:18" ht="37.5" customHeight="1">
      <c r="A18" s="63">
        <v>45518</v>
      </c>
      <c r="B18" s="42" t="s">
        <v>17</v>
      </c>
      <c r="C18" s="42" t="s">
        <v>92</v>
      </c>
      <c r="D18" s="60">
        <v>45518</v>
      </c>
      <c r="E18" s="60">
        <v>45518</v>
      </c>
      <c r="G18" s="43" t="s">
        <v>93</v>
      </c>
      <c r="H18" s="43"/>
      <c r="I18" s="43"/>
      <c r="J18" s="43" t="s">
        <v>14</v>
      </c>
      <c r="K18" s="43" t="s">
        <v>12</v>
      </c>
      <c r="L18" s="44" t="str">
        <f>IF(Tabla2[[#This Row],[Fecha de Resp]]&gt;Tabla2[[#This Row],[Fecha MAX de Resp]],"Retrasado",IF(Tabla2[[#This Row],[Fecha de Resp]]=0,"Pendiente",IF(Tabla2[[#This Row],[Fecha de Resp]]&lt;=Tabla2[[#This Row],[Fecha MAX de Resp]],"A Tiempo",0)))</f>
        <v>A Tiempo</v>
      </c>
      <c r="M18" s="43"/>
      <c r="N18" s="44"/>
      <c r="O18" s="44" t="b">
        <f>EXACT(Tabla2[[#This Row],[Fecha de Recibido]],Tabla2[[#This Row],[Fecha MAX de Resp]])</f>
        <v>1</v>
      </c>
      <c r="P18" s="44" t="b">
        <f>EXACT(Tabla2[[#This Row],[Fecha de Recibido]],Tabla2[[#This Row],[Fecha de Resp]])</f>
        <v>1</v>
      </c>
      <c r="Q18" s="45">
        <f>DATE(YEAR(Tabla2[[#This Row],[Fecha de Recibido]]),MONTH(Tabla2[[#This Row],[Fecha de Recibido]]),1)</f>
        <v>45505</v>
      </c>
      <c r="R18" s="45" t="s">
        <v>63</v>
      </c>
    </row>
    <row r="19" spans="1:18" ht="37.5" customHeight="1">
      <c r="A19" s="63">
        <v>45518</v>
      </c>
      <c r="B19" s="42" t="s">
        <v>17</v>
      </c>
      <c r="C19" s="42" t="s">
        <v>94</v>
      </c>
      <c r="D19" s="60">
        <v>45518</v>
      </c>
      <c r="E19" s="60">
        <v>45518</v>
      </c>
      <c r="G19" s="43" t="s">
        <v>95</v>
      </c>
      <c r="H19" s="43"/>
      <c r="I19" s="43"/>
      <c r="J19" s="43" t="s">
        <v>8</v>
      </c>
      <c r="K19" s="43" t="s">
        <v>12</v>
      </c>
      <c r="L19" s="44" t="str">
        <f>IF(Tabla2[[#This Row],[Fecha de Resp]]&gt;Tabla2[[#This Row],[Fecha MAX de Resp]],"Retrasado",IF(Tabla2[[#This Row],[Fecha de Resp]]=0,"Pendiente",IF(Tabla2[[#This Row],[Fecha de Resp]]&lt;=Tabla2[[#This Row],[Fecha MAX de Resp]],"A Tiempo",0)))</f>
        <v>A Tiempo</v>
      </c>
      <c r="M19" s="43"/>
      <c r="N19" s="44"/>
      <c r="O19" s="44" t="b">
        <f>EXACT(Tabla2[[#This Row],[Fecha de Recibido]],Tabla2[[#This Row],[Fecha MAX de Resp]])</f>
        <v>1</v>
      </c>
      <c r="P19" s="44" t="b">
        <f>EXACT(Tabla2[[#This Row],[Fecha de Recibido]],Tabla2[[#This Row],[Fecha de Resp]])</f>
        <v>1</v>
      </c>
      <c r="Q19" s="45">
        <f>DATE(YEAR(Tabla2[[#This Row],[Fecha de Recibido]]),MONTH(Tabla2[[#This Row],[Fecha de Recibido]]),1)</f>
        <v>45505</v>
      </c>
      <c r="R19" s="45" t="s">
        <v>63</v>
      </c>
    </row>
    <row r="20" spans="1:18" ht="37.5" customHeight="1">
      <c r="A20" s="63">
        <v>45518</v>
      </c>
      <c r="B20" s="42" t="s">
        <v>17</v>
      </c>
      <c r="C20" s="42" t="s">
        <v>96</v>
      </c>
      <c r="D20" s="60">
        <v>45518</v>
      </c>
      <c r="E20" s="60">
        <v>45518</v>
      </c>
      <c r="G20" s="43" t="s">
        <v>97</v>
      </c>
      <c r="H20" s="43"/>
      <c r="I20" s="43"/>
      <c r="J20" s="43" t="s">
        <v>3</v>
      </c>
      <c r="K20" s="43" t="s">
        <v>9</v>
      </c>
      <c r="L20" s="44" t="str">
        <f>IF(Tabla2[[#This Row],[Fecha de Resp]]&gt;Tabla2[[#This Row],[Fecha MAX de Resp]],"Retrasado",IF(Tabla2[[#This Row],[Fecha de Resp]]=0,"Pendiente",IF(Tabla2[[#This Row],[Fecha de Resp]]&lt;=Tabla2[[#This Row],[Fecha MAX de Resp]],"A Tiempo",0)))</f>
        <v>A Tiempo</v>
      </c>
      <c r="M20" s="43"/>
      <c r="N20" s="44"/>
      <c r="O20" s="44" t="b">
        <f>EXACT(Tabla2[[#This Row],[Fecha de Recibido]],Tabla2[[#This Row],[Fecha MAX de Resp]])</f>
        <v>1</v>
      </c>
      <c r="P20" s="44" t="b">
        <f>EXACT(Tabla2[[#This Row],[Fecha de Recibido]],Tabla2[[#This Row],[Fecha de Resp]])</f>
        <v>1</v>
      </c>
      <c r="Q20" s="45">
        <f>DATE(YEAR(Tabla2[[#This Row],[Fecha de Recibido]]),MONTH(Tabla2[[#This Row],[Fecha de Recibido]]),1)</f>
        <v>45505</v>
      </c>
      <c r="R20" s="45" t="s">
        <v>63</v>
      </c>
    </row>
    <row r="21" spans="1:18" ht="37.5" customHeight="1">
      <c r="A21" s="63">
        <v>45516</v>
      </c>
      <c r="B21" s="42" t="s">
        <v>17</v>
      </c>
      <c r="C21" s="42" t="s">
        <v>98</v>
      </c>
      <c r="D21" s="60">
        <v>45520</v>
      </c>
      <c r="E21" s="60">
        <v>45524</v>
      </c>
      <c r="G21" s="43" t="s">
        <v>99</v>
      </c>
      <c r="H21" s="43"/>
      <c r="I21" s="43"/>
      <c r="J21" s="43" t="s">
        <v>8</v>
      </c>
      <c r="K21" s="43" t="s">
        <v>9</v>
      </c>
      <c r="L21" s="44" t="str">
        <f>IF(Tabla2[[#This Row],[Fecha de Resp]]&gt;Tabla2[[#This Row],[Fecha MAX de Resp]],"Retrasado",IF(Tabla2[[#This Row],[Fecha de Resp]]=0,"Pendiente",IF(Tabla2[[#This Row],[Fecha de Resp]]&lt;=Tabla2[[#This Row],[Fecha MAX de Resp]],"A Tiempo",0)))</f>
        <v>Retrasado</v>
      </c>
      <c r="M21" s="43"/>
      <c r="N21" s="44"/>
      <c r="O21" s="44" t="b">
        <f>EXACT(Tabla2[[#This Row],[Fecha de Recibido]],Tabla2[[#This Row],[Fecha MAX de Resp]])</f>
        <v>0</v>
      </c>
      <c r="P21" s="44" t="b">
        <f>EXACT(Tabla2[[#This Row],[Fecha de Recibido]],Tabla2[[#This Row],[Fecha de Resp]])</f>
        <v>0</v>
      </c>
      <c r="Q21" s="45">
        <f>DATE(YEAR(Tabla2[[#This Row],[Fecha de Recibido]]),MONTH(Tabla2[[#This Row],[Fecha de Recibido]]),1)</f>
        <v>45505</v>
      </c>
      <c r="R21" s="45" t="s">
        <v>63</v>
      </c>
    </row>
    <row r="22" spans="1:18" ht="37.5" customHeight="1">
      <c r="A22" s="60">
        <v>45513</v>
      </c>
      <c r="B22" s="42" t="s">
        <v>17</v>
      </c>
      <c r="C22" s="42" t="s">
        <v>100</v>
      </c>
      <c r="D22" s="60">
        <v>45513</v>
      </c>
      <c r="E22" s="60">
        <v>45513</v>
      </c>
      <c r="G22" s="43" t="s">
        <v>101</v>
      </c>
      <c r="H22" s="43"/>
      <c r="I22" s="43"/>
      <c r="J22" s="43" t="s">
        <v>3</v>
      </c>
      <c r="K22" s="43" t="s">
        <v>9</v>
      </c>
      <c r="L22" s="44" t="str">
        <f>IF(Tabla2[[#This Row],[Fecha de Resp]]&gt;Tabla2[[#This Row],[Fecha MAX de Resp]],"Retrasado",IF(Tabla2[[#This Row],[Fecha de Resp]]=0,"Pendiente",IF(Tabla2[[#This Row],[Fecha de Resp]]&lt;=Tabla2[[#This Row],[Fecha MAX de Resp]],"A Tiempo",0)))</f>
        <v>A Tiempo</v>
      </c>
      <c r="M22" s="43"/>
      <c r="N22" s="44"/>
      <c r="O22" s="44" t="b">
        <f>EXACT(Tabla2[[#This Row],[Fecha de Recibido]],Tabla2[[#This Row],[Fecha MAX de Resp]])</f>
        <v>1</v>
      </c>
      <c r="P22" s="44" t="b">
        <f>EXACT(Tabla2[[#This Row],[Fecha de Recibido]],Tabla2[[#This Row],[Fecha de Resp]])</f>
        <v>1</v>
      </c>
      <c r="Q22" s="45">
        <f>DATE(YEAR(Tabla2[[#This Row],[Fecha de Recibido]]),MONTH(Tabla2[[#This Row],[Fecha de Recibido]]),1)</f>
        <v>45505</v>
      </c>
      <c r="R22" s="45" t="s">
        <v>63</v>
      </c>
    </row>
    <row r="23" spans="1:18" ht="37.5" customHeight="1">
      <c r="A23" s="63">
        <v>45527</v>
      </c>
      <c r="B23" s="42" t="s">
        <v>17</v>
      </c>
      <c r="C23" s="42" t="s">
        <v>102</v>
      </c>
      <c r="D23" s="60">
        <v>45527</v>
      </c>
      <c r="E23" s="60">
        <v>45527</v>
      </c>
      <c r="G23" s="43" t="s">
        <v>103</v>
      </c>
      <c r="H23" s="43"/>
      <c r="I23" s="43"/>
      <c r="J23" s="43" t="s">
        <v>8</v>
      </c>
      <c r="K23" s="43" t="s">
        <v>9</v>
      </c>
      <c r="L23" s="44" t="str">
        <f>IF(Tabla2[[#This Row],[Fecha de Resp]]&gt;Tabla2[[#This Row],[Fecha MAX de Resp]],"Retrasado",IF(Tabla2[[#This Row],[Fecha de Resp]]=0,"Pendiente",IF(Tabla2[[#This Row],[Fecha de Resp]]&lt;=Tabla2[[#This Row],[Fecha MAX de Resp]],"A Tiempo",0)))</f>
        <v>A Tiempo</v>
      </c>
      <c r="M23" s="43"/>
      <c r="N23" s="44"/>
      <c r="O23" s="44" t="b">
        <f>EXACT(Tabla2[[#This Row],[Fecha de Recibido]],Tabla2[[#This Row],[Fecha MAX de Resp]])</f>
        <v>1</v>
      </c>
      <c r="P23" s="44" t="b">
        <f>EXACT(Tabla2[[#This Row],[Fecha de Recibido]],Tabla2[[#This Row],[Fecha de Resp]])</f>
        <v>1</v>
      </c>
      <c r="Q23" s="45">
        <f>DATE(YEAR(Tabla2[[#This Row],[Fecha de Recibido]]),MONTH(Tabla2[[#This Row],[Fecha de Recibido]]),1)</f>
        <v>45505</v>
      </c>
      <c r="R23" s="45" t="s">
        <v>63</v>
      </c>
    </row>
    <row r="24" spans="1:18" ht="37.5" customHeight="1">
      <c r="A24" s="63">
        <v>45527</v>
      </c>
      <c r="B24" s="42" t="s">
        <v>17</v>
      </c>
      <c r="C24" s="42" t="s">
        <v>104</v>
      </c>
      <c r="D24" s="60">
        <v>45527</v>
      </c>
      <c r="E24" s="60">
        <v>45527</v>
      </c>
      <c r="G24" s="43" t="s">
        <v>105</v>
      </c>
      <c r="H24" s="43"/>
      <c r="I24" s="43"/>
      <c r="J24" s="43" t="s">
        <v>3</v>
      </c>
      <c r="K24" s="43" t="s">
        <v>9</v>
      </c>
      <c r="L24" s="44" t="str">
        <f>IF(Tabla2[[#This Row],[Fecha de Resp]]&gt;Tabla2[[#This Row],[Fecha MAX de Resp]],"Retrasado",IF(Tabla2[[#This Row],[Fecha de Resp]]=0,"Pendiente",IF(Tabla2[[#This Row],[Fecha de Resp]]&lt;=Tabla2[[#This Row],[Fecha MAX de Resp]],"A Tiempo",0)))</f>
        <v>A Tiempo</v>
      </c>
      <c r="M24" s="43"/>
      <c r="N24" s="44"/>
      <c r="O24" s="44" t="b">
        <f>EXACT(Tabla2[[#This Row],[Fecha de Recibido]],Tabla2[[#This Row],[Fecha MAX de Resp]])</f>
        <v>1</v>
      </c>
      <c r="P24" s="44" t="b">
        <f>EXACT(Tabla2[[#This Row],[Fecha de Recibido]],Tabla2[[#This Row],[Fecha de Resp]])</f>
        <v>1</v>
      </c>
      <c r="Q24" s="45">
        <f>DATE(YEAR(Tabla2[[#This Row],[Fecha de Recibido]]),MONTH(Tabla2[[#This Row],[Fecha de Recibido]]),1)</f>
        <v>45505</v>
      </c>
      <c r="R24" s="45" t="s">
        <v>63</v>
      </c>
    </row>
    <row r="25" spans="1:18" ht="37.5" customHeight="1">
      <c r="A25" s="63">
        <v>45505</v>
      </c>
      <c r="B25" s="42" t="s">
        <v>17</v>
      </c>
      <c r="C25" s="42" t="s">
        <v>106</v>
      </c>
      <c r="D25" s="60">
        <v>45505</v>
      </c>
      <c r="E25" s="60">
        <v>45505</v>
      </c>
      <c r="G25" s="43" t="s">
        <v>107</v>
      </c>
      <c r="H25" s="43"/>
      <c r="I25" s="43"/>
      <c r="J25" s="43" t="s">
        <v>3</v>
      </c>
      <c r="K25" s="43" t="s">
        <v>9</v>
      </c>
      <c r="L25" s="44" t="str">
        <f>IF(Tabla2[[#This Row],[Fecha de Resp]]&gt;Tabla2[[#This Row],[Fecha MAX de Resp]],"Retrasado",IF(Tabla2[[#This Row],[Fecha de Resp]]=0,"Pendiente",IF(Tabla2[[#This Row],[Fecha de Resp]]&lt;=Tabla2[[#This Row],[Fecha MAX de Resp]],"A Tiempo",0)))</f>
        <v>A Tiempo</v>
      </c>
      <c r="M25" s="43"/>
      <c r="N25" s="44"/>
      <c r="O25" s="44" t="b">
        <f>EXACT(Tabla2[[#This Row],[Fecha de Recibido]],Tabla2[[#This Row],[Fecha MAX de Resp]])</f>
        <v>1</v>
      </c>
      <c r="P25" s="44" t="b">
        <f>EXACT(Tabla2[[#This Row],[Fecha de Recibido]],Tabla2[[#This Row],[Fecha de Resp]])</f>
        <v>1</v>
      </c>
      <c r="Q25" s="45">
        <f>DATE(YEAR(Tabla2[[#This Row],[Fecha de Recibido]]),MONTH(Tabla2[[#This Row],[Fecha de Recibido]]),1)</f>
        <v>45505</v>
      </c>
      <c r="R25" s="45" t="s">
        <v>63</v>
      </c>
    </row>
    <row r="26" spans="1:18" ht="37.5" customHeight="1">
      <c r="A26" s="63">
        <v>45503</v>
      </c>
      <c r="B26" s="42" t="s">
        <v>17</v>
      </c>
      <c r="C26" s="42" t="s">
        <v>108</v>
      </c>
      <c r="D26" s="60">
        <v>45503</v>
      </c>
      <c r="E26" s="60">
        <v>45503</v>
      </c>
      <c r="G26" s="43" t="s">
        <v>109</v>
      </c>
      <c r="H26" s="43"/>
      <c r="I26" s="43"/>
      <c r="J26" s="43" t="s">
        <v>3</v>
      </c>
      <c r="K26" s="43" t="s">
        <v>12</v>
      </c>
      <c r="L26" s="44" t="str">
        <f>IF(Tabla2[[#This Row],[Fecha de Resp]]&gt;Tabla2[[#This Row],[Fecha MAX de Resp]],"Retrasado",IF(Tabla2[[#This Row],[Fecha de Resp]]=0,"Pendiente",IF(Tabla2[[#This Row],[Fecha de Resp]]&lt;=Tabla2[[#This Row],[Fecha MAX de Resp]],"A Tiempo",0)))</f>
        <v>A Tiempo</v>
      </c>
      <c r="M26" s="43"/>
      <c r="N26" s="44"/>
      <c r="O26" s="44" t="b">
        <f>EXACT(Tabla2[[#This Row],[Fecha de Recibido]],Tabla2[[#This Row],[Fecha MAX de Resp]])</f>
        <v>1</v>
      </c>
      <c r="P26" s="44" t="b">
        <f>EXACT(Tabla2[[#This Row],[Fecha de Recibido]],Tabla2[[#This Row],[Fecha de Resp]])</f>
        <v>1</v>
      </c>
      <c r="Q26" s="45">
        <f>DATE(YEAR(Tabla2[[#This Row],[Fecha de Recibido]]),MONTH(Tabla2[[#This Row],[Fecha de Recibido]]),1)</f>
        <v>45474</v>
      </c>
      <c r="R26" s="45" t="s">
        <v>63</v>
      </c>
    </row>
    <row r="27" spans="1:18" ht="37.5" customHeight="1">
      <c r="A27" s="63">
        <v>45503</v>
      </c>
      <c r="B27" s="42" t="s">
        <v>17</v>
      </c>
      <c r="C27" s="42" t="s">
        <v>110</v>
      </c>
      <c r="D27" s="60">
        <v>45503</v>
      </c>
      <c r="E27" s="60">
        <v>45503</v>
      </c>
      <c r="G27" s="43" t="s">
        <v>111</v>
      </c>
      <c r="H27" s="43"/>
      <c r="I27" s="43"/>
      <c r="J27" s="43" t="s">
        <v>8</v>
      </c>
      <c r="K27" s="43" t="s">
        <v>12</v>
      </c>
      <c r="L27" s="44" t="str">
        <f>IF(Tabla2[[#This Row],[Fecha de Resp]]&gt;Tabla2[[#This Row],[Fecha MAX de Resp]],"Retrasado",IF(Tabla2[[#This Row],[Fecha de Resp]]=0,"Pendiente",IF(Tabla2[[#This Row],[Fecha de Resp]]&lt;=Tabla2[[#This Row],[Fecha MAX de Resp]],"A Tiempo",0)))</f>
        <v>A Tiempo</v>
      </c>
      <c r="M27" s="43"/>
      <c r="N27" s="44"/>
      <c r="O27" s="44" t="b">
        <f>EXACT(Tabla2[[#This Row],[Fecha de Recibido]],Tabla2[[#This Row],[Fecha MAX de Resp]])</f>
        <v>1</v>
      </c>
      <c r="P27" s="44" t="b">
        <f>EXACT(Tabla2[[#This Row],[Fecha de Recibido]],Tabla2[[#This Row],[Fecha de Resp]])</f>
        <v>1</v>
      </c>
      <c r="Q27" s="45">
        <f>DATE(YEAR(Tabla2[[#This Row],[Fecha de Recibido]]),MONTH(Tabla2[[#This Row],[Fecha de Recibido]]),1)</f>
        <v>45474</v>
      </c>
      <c r="R27" s="45" t="s">
        <v>63</v>
      </c>
    </row>
    <row r="28" spans="1:18" ht="37.5" customHeight="1">
      <c r="A28" s="63">
        <v>45502</v>
      </c>
      <c r="B28" s="42" t="s">
        <v>32</v>
      </c>
      <c r="C28" s="42" t="s">
        <v>112</v>
      </c>
      <c r="D28" s="63">
        <v>45502</v>
      </c>
      <c r="E28" s="63">
        <v>45502</v>
      </c>
      <c r="F28" s="60"/>
      <c r="G28" s="43" t="s">
        <v>113</v>
      </c>
      <c r="H28" s="43"/>
      <c r="I28" s="43"/>
      <c r="J28" s="43" t="s">
        <v>3</v>
      </c>
      <c r="K28" s="43" t="s">
        <v>15</v>
      </c>
      <c r="L28" s="44" t="str">
        <f>IF(Tabla2[[#This Row],[Fecha de Resp]]&gt;Tabla2[[#This Row],[Fecha MAX de Resp]],"Retrasado",IF(Tabla2[[#This Row],[Fecha de Resp]]=0,"Pendiente",IF(Tabla2[[#This Row],[Fecha de Resp]]&lt;=Tabla2[[#This Row],[Fecha MAX de Resp]],"A Tiempo",0)))</f>
        <v>A Tiempo</v>
      </c>
      <c r="M28" s="43"/>
      <c r="N28" s="44"/>
      <c r="O28" s="44" t="b">
        <f>EXACT(Tabla2[[#This Row],[Fecha de Recibido]],Tabla2[[#This Row],[Fecha MAX de Resp]])</f>
        <v>1</v>
      </c>
      <c r="P28" s="44" t="b">
        <f>EXACT(Tabla2[[#This Row],[Fecha de Recibido]],Tabla2[[#This Row],[Fecha de Resp]])</f>
        <v>1</v>
      </c>
      <c r="Q28" s="45">
        <f>DATE(YEAR(Tabla2[[#This Row],[Fecha de Recibido]]),MONTH(Tabla2[[#This Row],[Fecha de Recibido]]),1)</f>
        <v>45474</v>
      </c>
      <c r="R28" s="45" t="s">
        <v>63</v>
      </c>
    </row>
    <row r="29" spans="1:18" ht="37.5" customHeight="1">
      <c r="A29" s="63">
        <v>45503</v>
      </c>
      <c r="B29" s="42" t="s">
        <v>17</v>
      </c>
      <c r="C29" s="42" t="s">
        <v>114</v>
      </c>
      <c r="D29" s="63">
        <v>45503</v>
      </c>
      <c r="E29" s="63">
        <v>45503</v>
      </c>
      <c r="G29" s="43" t="s">
        <v>115</v>
      </c>
      <c r="H29" s="43"/>
      <c r="I29" s="43"/>
      <c r="J29" s="43" t="s">
        <v>3</v>
      </c>
      <c r="K29" s="43" t="s">
        <v>12</v>
      </c>
      <c r="L29" s="44" t="str">
        <f>IF(Tabla2[[#This Row],[Fecha de Resp]]&gt;Tabla2[[#This Row],[Fecha MAX de Resp]],"Retrasado",IF(Tabla2[[#This Row],[Fecha de Resp]]=0,"Pendiente",IF(Tabla2[[#This Row],[Fecha de Resp]]&lt;=Tabla2[[#This Row],[Fecha MAX de Resp]],"A Tiempo",0)))</f>
        <v>A Tiempo</v>
      </c>
      <c r="M29" s="43"/>
      <c r="N29" s="44"/>
      <c r="O29" s="44" t="b">
        <f>EXACT(Tabla2[[#This Row],[Fecha de Recibido]],Tabla2[[#This Row],[Fecha MAX de Resp]])</f>
        <v>1</v>
      </c>
      <c r="P29" s="44" t="b">
        <f>EXACT(Tabla2[[#This Row],[Fecha de Recibido]],Tabla2[[#This Row],[Fecha de Resp]])</f>
        <v>1</v>
      </c>
      <c r="Q29" s="45">
        <f>DATE(YEAR(Tabla2[[#This Row],[Fecha de Recibido]]),MONTH(Tabla2[[#This Row],[Fecha de Recibido]]),1)</f>
        <v>45474</v>
      </c>
      <c r="R29" s="45" t="s">
        <v>63</v>
      </c>
    </row>
    <row r="30" spans="1:18" ht="37.5" customHeight="1">
      <c r="A30" s="63">
        <v>45489</v>
      </c>
      <c r="B30" s="42" t="s">
        <v>17</v>
      </c>
      <c r="C30" s="42" t="s">
        <v>116</v>
      </c>
      <c r="D30" s="63">
        <v>45489</v>
      </c>
      <c r="E30" s="63">
        <v>45489</v>
      </c>
      <c r="G30" s="43" t="s">
        <v>117</v>
      </c>
      <c r="H30" s="43"/>
      <c r="I30" s="43"/>
      <c r="J30" s="43" t="s">
        <v>14</v>
      </c>
      <c r="K30" s="43" t="s">
        <v>12</v>
      </c>
      <c r="L30" s="44" t="str">
        <f>IF(Tabla2[[#This Row],[Fecha de Resp]]&gt;Tabla2[[#This Row],[Fecha MAX de Resp]],"Retrasado",IF(Tabla2[[#This Row],[Fecha de Resp]]=0,"Pendiente",IF(Tabla2[[#This Row],[Fecha de Resp]]&lt;=Tabla2[[#This Row],[Fecha MAX de Resp]],"A Tiempo",0)))</f>
        <v>A Tiempo</v>
      </c>
      <c r="M30" s="43"/>
      <c r="N30" s="44"/>
      <c r="O30" s="44" t="b">
        <f>EXACT(Tabla2[[#This Row],[Fecha de Recibido]],Tabla2[[#This Row],[Fecha MAX de Resp]])</f>
        <v>1</v>
      </c>
      <c r="P30" s="44" t="b">
        <f>EXACT(Tabla2[[#This Row],[Fecha de Recibido]],Tabla2[[#This Row],[Fecha de Resp]])</f>
        <v>1</v>
      </c>
      <c r="Q30" s="45">
        <f>DATE(YEAR(Tabla2[[#This Row],[Fecha de Recibido]]),MONTH(Tabla2[[#This Row],[Fecha de Recibido]]),1)</f>
        <v>45474</v>
      </c>
      <c r="R30" s="45" t="s">
        <v>63</v>
      </c>
    </row>
    <row r="31" spans="1:18" ht="37.5" customHeight="1">
      <c r="A31" s="63">
        <v>45603</v>
      </c>
      <c r="B31" s="42" t="s">
        <v>17</v>
      </c>
      <c r="C31" s="42" t="s">
        <v>118</v>
      </c>
      <c r="D31" s="60">
        <v>45497</v>
      </c>
      <c r="E31" s="60">
        <v>45497</v>
      </c>
      <c r="G31" s="43" t="s">
        <v>119</v>
      </c>
      <c r="H31" s="43"/>
      <c r="I31" s="43"/>
      <c r="J31" s="43" t="s">
        <v>11</v>
      </c>
      <c r="K31" s="43" t="s">
        <v>12</v>
      </c>
      <c r="L31" s="44" t="str">
        <f>IF(Tabla2[[#This Row],[Fecha de Resp]]&gt;Tabla2[[#This Row],[Fecha MAX de Resp]],"Retrasado",IF(Tabla2[[#This Row],[Fecha de Resp]]=0,"Pendiente",IF(Tabla2[[#This Row],[Fecha de Resp]]&lt;=Tabla2[[#This Row],[Fecha MAX de Resp]],"A Tiempo",0)))</f>
        <v>A Tiempo</v>
      </c>
      <c r="M31" s="43"/>
      <c r="N31" s="44"/>
      <c r="O31" s="44" t="b">
        <f>EXACT(Tabla2[[#This Row],[Fecha de Recibido]],Tabla2[[#This Row],[Fecha MAX de Resp]])</f>
        <v>0</v>
      </c>
      <c r="P31" s="44" t="b">
        <f>EXACT(Tabla2[[#This Row],[Fecha de Recibido]],Tabla2[[#This Row],[Fecha de Resp]])</f>
        <v>0</v>
      </c>
      <c r="Q31" s="45">
        <f>DATE(YEAR(Tabla2[[#This Row],[Fecha de Recibido]]),MONTH(Tabla2[[#This Row],[Fecha de Recibido]]),1)</f>
        <v>45597</v>
      </c>
      <c r="R31" s="45" t="s">
        <v>63</v>
      </c>
    </row>
    <row r="32" spans="1:18" ht="37.5" customHeight="1">
      <c r="A32" s="63">
        <v>45603</v>
      </c>
      <c r="B32" s="42" t="s">
        <v>17</v>
      </c>
      <c r="C32" s="42" t="s">
        <v>120</v>
      </c>
      <c r="D32" s="60">
        <v>45497</v>
      </c>
      <c r="E32" s="60">
        <v>45497</v>
      </c>
      <c r="G32" s="43" t="s">
        <v>121</v>
      </c>
      <c r="H32" s="43"/>
      <c r="I32" s="43"/>
      <c r="J32" s="43" t="s">
        <v>14</v>
      </c>
      <c r="K32" s="43" t="s">
        <v>12</v>
      </c>
      <c r="L32" s="44" t="str">
        <f>IF(Tabla2[[#This Row],[Fecha de Resp]]&gt;Tabla2[[#This Row],[Fecha MAX de Resp]],"Retrasado",IF(Tabla2[[#This Row],[Fecha de Resp]]=0,"Pendiente",IF(Tabla2[[#This Row],[Fecha de Resp]]&lt;=Tabla2[[#This Row],[Fecha MAX de Resp]],"A Tiempo",0)))</f>
        <v>A Tiempo</v>
      </c>
      <c r="M32" s="43"/>
      <c r="N32" s="44"/>
      <c r="O32" s="44" t="b">
        <f>EXACT(Tabla2[[#This Row],[Fecha de Recibido]],Tabla2[[#This Row],[Fecha MAX de Resp]])</f>
        <v>0</v>
      </c>
      <c r="P32" s="44" t="b">
        <f>EXACT(Tabla2[[#This Row],[Fecha de Recibido]],Tabla2[[#This Row],[Fecha de Resp]])</f>
        <v>0</v>
      </c>
      <c r="Q32" s="45">
        <f>DATE(YEAR(Tabla2[[#This Row],[Fecha de Recibido]]),MONTH(Tabla2[[#This Row],[Fecha de Recibido]]),1)</f>
        <v>45597</v>
      </c>
      <c r="R32" s="45" t="s">
        <v>63</v>
      </c>
    </row>
    <row r="33" spans="1:18" ht="37.5" customHeight="1">
      <c r="A33" s="63">
        <v>45495</v>
      </c>
      <c r="B33" s="42" t="s">
        <v>30</v>
      </c>
      <c r="C33" s="42" t="s">
        <v>122</v>
      </c>
      <c r="D33" s="63">
        <v>45495</v>
      </c>
      <c r="E33" s="63">
        <v>45495</v>
      </c>
      <c r="G33" s="43" t="s">
        <v>123</v>
      </c>
      <c r="H33" s="43"/>
      <c r="I33" s="43"/>
      <c r="J33" s="43" t="s">
        <v>11</v>
      </c>
      <c r="K33" s="43" t="s">
        <v>12</v>
      </c>
      <c r="L33" s="44" t="str">
        <f>IF(Tabla2[[#This Row],[Fecha de Resp]]&gt;Tabla2[[#This Row],[Fecha MAX de Resp]],"Retrasado",IF(Tabla2[[#This Row],[Fecha de Resp]]=0,"Pendiente",IF(Tabla2[[#This Row],[Fecha de Resp]]&lt;=Tabla2[[#This Row],[Fecha MAX de Resp]],"A Tiempo",0)))</f>
        <v>A Tiempo</v>
      </c>
      <c r="M33" s="43"/>
      <c r="N33" s="44"/>
      <c r="O33" s="44" t="b">
        <f>EXACT(Tabla2[[#This Row],[Fecha de Recibido]],Tabla2[[#This Row],[Fecha MAX de Resp]])</f>
        <v>1</v>
      </c>
      <c r="P33" s="44" t="b">
        <f>EXACT(Tabla2[[#This Row],[Fecha de Recibido]],Tabla2[[#This Row],[Fecha de Resp]])</f>
        <v>1</v>
      </c>
      <c r="Q33" s="45">
        <f>DATE(YEAR(Tabla2[[#This Row],[Fecha de Recibido]]),MONTH(Tabla2[[#This Row],[Fecha de Recibido]]),1)</f>
        <v>45474</v>
      </c>
      <c r="R33" s="45" t="s">
        <v>63</v>
      </c>
    </row>
    <row r="34" spans="1:18" ht="37.5" customHeight="1">
      <c r="A34" s="63">
        <v>45491</v>
      </c>
      <c r="B34" s="42" t="s">
        <v>32</v>
      </c>
      <c r="C34" s="42" t="s">
        <v>124</v>
      </c>
      <c r="D34" s="63">
        <v>45491</v>
      </c>
      <c r="E34" s="63">
        <v>45491</v>
      </c>
      <c r="G34" s="43" t="s">
        <v>125</v>
      </c>
      <c r="H34" s="43"/>
      <c r="I34" s="43"/>
      <c r="J34" s="43" t="s">
        <v>3</v>
      </c>
      <c r="K34" s="43" t="s">
        <v>4</v>
      </c>
      <c r="L34" s="44" t="str">
        <f>IF(Tabla2[[#This Row],[Fecha de Resp]]&gt;Tabla2[[#This Row],[Fecha MAX de Resp]],"Retrasado",IF(Tabla2[[#This Row],[Fecha de Resp]]=0,"Pendiente",IF(Tabla2[[#This Row],[Fecha de Resp]]&lt;=Tabla2[[#This Row],[Fecha MAX de Resp]],"A Tiempo",0)))</f>
        <v>A Tiempo</v>
      </c>
      <c r="M34" s="43"/>
      <c r="N34" s="44"/>
      <c r="O34" s="44" t="b">
        <f>EXACT(Tabla2[[#This Row],[Fecha de Recibido]],Tabla2[[#This Row],[Fecha MAX de Resp]])</f>
        <v>1</v>
      </c>
      <c r="P34" s="44" t="b">
        <f>EXACT(Tabla2[[#This Row],[Fecha de Recibido]],Tabla2[[#This Row],[Fecha de Resp]])</f>
        <v>1</v>
      </c>
      <c r="Q34" s="45">
        <f>DATE(YEAR(Tabla2[[#This Row],[Fecha de Recibido]]),MONTH(Tabla2[[#This Row],[Fecha de Recibido]]),1)</f>
        <v>45474</v>
      </c>
      <c r="R34" s="45" t="s">
        <v>63</v>
      </c>
    </row>
    <row r="35" spans="1:18" ht="37.5" customHeight="1">
      <c r="A35" s="63">
        <v>45492</v>
      </c>
      <c r="B35" s="42" t="s">
        <v>17</v>
      </c>
      <c r="C35" s="42" t="s">
        <v>126</v>
      </c>
      <c r="D35" s="63">
        <v>45492</v>
      </c>
      <c r="E35" s="63">
        <v>45492</v>
      </c>
      <c r="G35" s="43" t="s">
        <v>127</v>
      </c>
      <c r="H35" s="43"/>
      <c r="I35" s="43"/>
      <c r="J35" s="43" t="s">
        <v>11</v>
      </c>
      <c r="K35" s="43" t="s">
        <v>4</v>
      </c>
      <c r="L35" s="44" t="str">
        <f>IF(Tabla2[[#This Row],[Fecha de Resp]]&gt;Tabla2[[#This Row],[Fecha MAX de Resp]],"Retrasado",IF(Tabla2[[#This Row],[Fecha de Resp]]=0,"Pendiente",IF(Tabla2[[#This Row],[Fecha de Resp]]&lt;=Tabla2[[#This Row],[Fecha MAX de Resp]],"A Tiempo",0)))</f>
        <v>A Tiempo</v>
      </c>
      <c r="M35" s="43"/>
      <c r="N35" s="44"/>
      <c r="O35" s="44" t="b">
        <f>EXACT(Tabla2[[#This Row],[Fecha de Recibido]],Tabla2[[#This Row],[Fecha MAX de Resp]])</f>
        <v>1</v>
      </c>
      <c r="P35" s="44" t="b">
        <f>EXACT(Tabla2[[#This Row],[Fecha de Recibido]],Tabla2[[#This Row],[Fecha de Resp]])</f>
        <v>1</v>
      </c>
      <c r="Q35" s="45">
        <f>DATE(YEAR(Tabla2[[#This Row],[Fecha de Recibido]]),MONTH(Tabla2[[#This Row],[Fecha de Recibido]]),1)</f>
        <v>45474</v>
      </c>
      <c r="R35" s="45" t="s">
        <v>63</v>
      </c>
    </row>
    <row r="36" spans="1:18" ht="37.5" customHeight="1">
      <c r="A36" s="63">
        <v>45490</v>
      </c>
      <c r="B36" s="42" t="s">
        <v>32</v>
      </c>
      <c r="C36" s="42" t="s">
        <v>128</v>
      </c>
      <c r="D36" s="63">
        <v>45490</v>
      </c>
      <c r="E36" s="63">
        <v>45490</v>
      </c>
      <c r="G36" s="43" t="s">
        <v>129</v>
      </c>
      <c r="H36" s="43"/>
      <c r="I36" s="43"/>
      <c r="J36" s="43" t="s">
        <v>8</v>
      </c>
      <c r="K36" s="43" t="s">
        <v>4</v>
      </c>
      <c r="L36" s="44" t="str">
        <f>IF(Tabla2[[#This Row],[Fecha de Resp]]&gt;Tabla2[[#This Row],[Fecha MAX de Resp]],"Retrasado",IF(Tabla2[[#This Row],[Fecha de Resp]]=0,"Pendiente",IF(Tabla2[[#This Row],[Fecha de Resp]]&lt;=Tabla2[[#This Row],[Fecha MAX de Resp]],"A Tiempo",0)))</f>
        <v>A Tiempo</v>
      </c>
      <c r="M36" s="43"/>
      <c r="N36" s="44"/>
      <c r="O36" s="44" t="b">
        <f>EXACT(Tabla2[[#This Row],[Fecha de Recibido]],Tabla2[[#This Row],[Fecha MAX de Resp]])</f>
        <v>1</v>
      </c>
      <c r="P36" s="44" t="b">
        <f>EXACT(Tabla2[[#This Row],[Fecha de Recibido]],Tabla2[[#This Row],[Fecha de Resp]])</f>
        <v>1</v>
      </c>
      <c r="Q36" s="45">
        <f>DATE(YEAR(Tabla2[[#This Row],[Fecha de Recibido]]),MONTH(Tabla2[[#This Row],[Fecha de Recibido]]),1)</f>
        <v>45474</v>
      </c>
      <c r="R36" s="45" t="s">
        <v>63</v>
      </c>
    </row>
    <row r="37" spans="1:18" ht="37.5" customHeight="1">
      <c r="A37" s="63">
        <v>45490</v>
      </c>
      <c r="B37" s="42" t="s">
        <v>32</v>
      </c>
      <c r="C37" s="42" t="s">
        <v>130</v>
      </c>
      <c r="D37" s="63">
        <v>45490</v>
      </c>
      <c r="E37" s="63">
        <v>45490</v>
      </c>
      <c r="G37" s="43" t="s">
        <v>131</v>
      </c>
      <c r="H37" s="43"/>
      <c r="I37" s="43"/>
      <c r="J37" s="43" t="s">
        <v>11</v>
      </c>
      <c r="K37" s="43" t="s">
        <v>4</v>
      </c>
      <c r="L37" s="44" t="str">
        <f>IF(Tabla2[[#This Row],[Fecha de Resp]]&gt;Tabla2[[#This Row],[Fecha MAX de Resp]],"Retrasado",IF(Tabla2[[#This Row],[Fecha de Resp]]=0,"Pendiente",IF(Tabla2[[#This Row],[Fecha de Resp]]&lt;=Tabla2[[#This Row],[Fecha MAX de Resp]],"A Tiempo",0)))</f>
        <v>A Tiempo</v>
      </c>
      <c r="M37" s="43"/>
      <c r="N37" s="44"/>
      <c r="O37" s="44" t="b">
        <f>EXACT(Tabla2[[#This Row],[Fecha de Recibido]],Tabla2[[#This Row],[Fecha MAX de Resp]])</f>
        <v>1</v>
      </c>
      <c r="P37" s="44" t="b">
        <f>EXACT(Tabla2[[#This Row],[Fecha de Recibido]],Tabla2[[#This Row],[Fecha de Resp]])</f>
        <v>1</v>
      </c>
      <c r="Q37" s="45">
        <f>DATE(YEAR(Tabla2[[#This Row],[Fecha de Recibido]]),MONTH(Tabla2[[#This Row],[Fecha de Recibido]]),1)</f>
        <v>45474</v>
      </c>
      <c r="R37" s="45" t="s">
        <v>63</v>
      </c>
    </row>
    <row r="38" spans="1:18" ht="37.5" customHeight="1">
      <c r="A38" s="63">
        <v>45490</v>
      </c>
      <c r="B38" s="42" t="s">
        <v>32</v>
      </c>
      <c r="C38" s="42" t="s">
        <v>132</v>
      </c>
      <c r="D38" s="63">
        <v>45490</v>
      </c>
      <c r="E38" s="63">
        <v>45490</v>
      </c>
      <c r="G38" s="43" t="s">
        <v>133</v>
      </c>
      <c r="H38" s="43"/>
      <c r="I38" s="43"/>
      <c r="J38" s="43" t="s">
        <v>14</v>
      </c>
      <c r="K38" s="43" t="s">
        <v>4</v>
      </c>
      <c r="L38" s="44" t="str">
        <f>IF(Tabla2[[#This Row],[Fecha de Resp]]&gt;Tabla2[[#This Row],[Fecha MAX de Resp]],"Retrasado",IF(Tabla2[[#This Row],[Fecha de Resp]]=0,"Pendiente",IF(Tabla2[[#This Row],[Fecha de Resp]]&lt;=Tabla2[[#This Row],[Fecha MAX de Resp]],"A Tiempo",0)))</f>
        <v>A Tiempo</v>
      </c>
      <c r="M38" s="43"/>
      <c r="N38" s="44"/>
      <c r="O38" s="44" t="b">
        <f>EXACT(Tabla2[[#This Row],[Fecha de Recibido]],Tabla2[[#This Row],[Fecha MAX de Resp]])</f>
        <v>1</v>
      </c>
      <c r="P38" s="44" t="b">
        <f>EXACT(Tabla2[[#This Row],[Fecha de Recibido]],Tabla2[[#This Row],[Fecha de Resp]])</f>
        <v>1</v>
      </c>
      <c r="Q38" s="45">
        <f>DATE(YEAR(Tabla2[[#This Row],[Fecha de Recibido]]),MONTH(Tabla2[[#This Row],[Fecha de Recibido]]),1)</f>
        <v>45474</v>
      </c>
      <c r="R38" s="45" t="s">
        <v>63</v>
      </c>
    </row>
    <row r="39" spans="1:18" ht="37.5" customHeight="1">
      <c r="A39" s="63">
        <v>45490</v>
      </c>
      <c r="B39" s="42" t="s">
        <v>32</v>
      </c>
      <c r="C39" s="42" t="s">
        <v>134</v>
      </c>
      <c r="D39" s="63">
        <v>45490</v>
      </c>
      <c r="E39" s="63">
        <v>45490</v>
      </c>
      <c r="G39" s="43" t="s">
        <v>135</v>
      </c>
      <c r="H39" s="43"/>
      <c r="I39" s="43"/>
      <c r="J39" s="43" t="s">
        <v>3</v>
      </c>
      <c r="K39" s="43" t="s">
        <v>4</v>
      </c>
      <c r="L39" s="44" t="str">
        <f>IF(Tabla2[[#This Row],[Fecha de Resp]]&gt;Tabla2[[#This Row],[Fecha MAX de Resp]],"Retrasado",IF(Tabla2[[#This Row],[Fecha de Resp]]=0,"Pendiente",IF(Tabla2[[#This Row],[Fecha de Resp]]&lt;=Tabla2[[#This Row],[Fecha MAX de Resp]],"A Tiempo",0)))</f>
        <v>A Tiempo</v>
      </c>
      <c r="M39" s="43"/>
      <c r="N39" s="44"/>
      <c r="O39" s="44" t="b">
        <f>EXACT(Tabla2[[#This Row],[Fecha de Recibido]],Tabla2[[#This Row],[Fecha MAX de Resp]])</f>
        <v>1</v>
      </c>
      <c r="P39" s="44" t="b">
        <f>EXACT(Tabla2[[#This Row],[Fecha de Recibido]],Tabla2[[#This Row],[Fecha de Resp]])</f>
        <v>1</v>
      </c>
      <c r="Q39" s="45">
        <f>DATE(YEAR(Tabla2[[#This Row],[Fecha de Recibido]]),MONTH(Tabla2[[#This Row],[Fecha de Recibido]]),1)</f>
        <v>45474</v>
      </c>
      <c r="R39" s="45" t="s">
        <v>63</v>
      </c>
    </row>
    <row r="40" spans="1:18" ht="37.5" customHeight="1">
      <c r="A40" s="63">
        <v>45489</v>
      </c>
      <c r="B40" s="42" t="s">
        <v>32</v>
      </c>
      <c r="C40" s="42" t="s">
        <v>136</v>
      </c>
      <c r="D40" s="63">
        <v>45489</v>
      </c>
      <c r="E40" s="63">
        <v>45489</v>
      </c>
      <c r="G40" s="43" t="s">
        <v>137</v>
      </c>
      <c r="H40" s="43"/>
      <c r="I40" s="43"/>
      <c r="J40" s="43" t="s">
        <v>3</v>
      </c>
      <c r="K40" s="43" t="s">
        <v>4</v>
      </c>
      <c r="L40" s="44" t="str">
        <f>IF(Tabla2[[#This Row],[Fecha de Resp]]&gt;Tabla2[[#This Row],[Fecha MAX de Resp]],"Retrasado",IF(Tabla2[[#This Row],[Fecha de Resp]]=0,"Pendiente",IF(Tabla2[[#This Row],[Fecha de Resp]]&lt;=Tabla2[[#This Row],[Fecha MAX de Resp]],"A Tiempo",0)))</f>
        <v>A Tiempo</v>
      </c>
      <c r="M40" s="43"/>
      <c r="N40" s="44"/>
      <c r="O40" s="44" t="b">
        <f>EXACT(Tabla2[[#This Row],[Fecha de Recibido]],Tabla2[[#This Row],[Fecha MAX de Resp]])</f>
        <v>1</v>
      </c>
      <c r="P40" s="44" t="b">
        <f>EXACT(Tabla2[[#This Row],[Fecha de Recibido]],Tabla2[[#This Row],[Fecha de Resp]])</f>
        <v>1</v>
      </c>
      <c r="Q40" s="45">
        <f>DATE(YEAR(Tabla2[[#This Row],[Fecha de Recibido]]),MONTH(Tabla2[[#This Row],[Fecha de Recibido]]),1)</f>
        <v>45474</v>
      </c>
      <c r="R40" s="45" t="s">
        <v>63</v>
      </c>
    </row>
    <row r="41" spans="1:18" ht="37.5" customHeight="1">
      <c r="A41" s="63">
        <v>45492</v>
      </c>
      <c r="B41" s="42" t="s">
        <v>17</v>
      </c>
      <c r="C41" s="42" t="s">
        <v>138</v>
      </c>
      <c r="D41" s="63">
        <v>45492</v>
      </c>
      <c r="E41" s="63">
        <v>45492</v>
      </c>
      <c r="G41" s="43" t="s">
        <v>139</v>
      </c>
      <c r="H41" s="43"/>
      <c r="I41" s="43"/>
      <c r="J41" s="43" t="s">
        <v>11</v>
      </c>
      <c r="K41" s="43" t="s">
        <v>4</v>
      </c>
      <c r="L41" s="44" t="str">
        <f>IF(Tabla2[[#This Row],[Fecha de Resp]]&gt;Tabla2[[#This Row],[Fecha MAX de Resp]],"Retrasado",IF(Tabla2[[#This Row],[Fecha de Resp]]=0,"Pendiente",IF(Tabla2[[#This Row],[Fecha de Resp]]&lt;=Tabla2[[#This Row],[Fecha MAX de Resp]],"A Tiempo",0)))</f>
        <v>A Tiempo</v>
      </c>
      <c r="M41" s="43"/>
      <c r="N41" s="44"/>
      <c r="O41" s="44" t="b">
        <f>EXACT(Tabla2[[#This Row],[Fecha de Recibido]],Tabla2[[#This Row],[Fecha MAX de Resp]])</f>
        <v>1</v>
      </c>
      <c r="P41" s="44" t="b">
        <f>EXACT(Tabla2[[#This Row],[Fecha de Recibido]],Tabla2[[#This Row],[Fecha de Resp]])</f>
        <v>1</v>
      </c>
      <c r="Q41" s="45">
        <f>DATE(YEAR(Tabla2[[#This Row],[Fecha de Recibido]]),MONTH(Tabla2[[#This Row],[Fecha de Recibido]]),1)</f>
        <v>45474</v>
      </c>
      <c r="R41" s="45" t="s">
        <v>63</v>
      </c>
    </row>
    <row r="42" spans="1:18" ht="37.5" customHeight="1">
      <c r="A42" s="63">
        <v>45491</v>
      </c>
      <c r="B42" s="42" t="s">
        <v>17</v>
      </c>
      <c r="C42" s="42" t="s">
        <v>140</v>
      </c>
      <c r="D42" s="63">
        <v>45491</v>
      </c>
      <c r="E42" s="63">
        <v>45491</v>
      </c>
      <c r="G42" s="43" t="s">
        <v>141</v>
      </c>
      <c r="H42" s="43"/>
      <c r="I42" s="43"/>
      <c r="J42" s="43" t="s">
        <v>3</v>
      </c>
      <c r="K42" s="43" t="s">
        <v>4</v>
      </c>
      <c r="L42" s="44" t="str">
        <f>IF(Tabla2[[#This Row],[Fecha de Resp]]&gt;Tabla2[[#This Row],[Fecha MAX de Resp]],"Retrasado",IF(Tabla2[[#This Row],[Fecha de Resp]]=0,"Pendiente",IF(Tabla2[[#This Row],[Fecha de Resp]]&lt;=Tabla2[[#This Row],[Fecha MAX de Resp]],"A Tiempo",0)))</f>
        <v>A Tiempo</v>
      </c>
      <c r="M42" s="43"/>
      <c r="N42" s="44"/>
      <c r="O42" s="44" t="b">
        <f>EXACT(Tabla2[[#This Row],[Fecha de Recibido]],Tabla2[[#This Row],[Fecha MAX de Resp]])</f>
        <v>1</v>
      </c>
      <c r="P42" s="44" t="b">
        <f>EXACT(Tabla2[[#This Row],[Fecha de Recibido]],Tabla2[[#This Row],[Fecha de Resp]])</f>
        <v>1</v>
      </c>
      <c r="Q42" s="45">
        <f>DATE(YEAR(Tabla2[[#This Row],[Fecha de Recibido]]),MONTH(Tabla2[[#This Row],[Fecha de Recibido]]),1)</f>
        <v>45474</v>
      </c>
      <c r="R42" s="45" t="s">
        <v>63</v>
      </c>
    </row>
    <row r="43" spans="1:18" ht="37.5" customHeight="1">
      <c r="A43" s="63">
        <v>45490</v>
      </c>
      <c r="B43" s="42" t="s">
        <v>17</v>
      </c>
      <c r="C43" s="42" t="s">
        <v>142</v>
      </c>
      <c r="D43" s="63">
        <v>45490</v>
      </c>
      <c r="E43" s="63">
        <v>45490</v>
      </c>
      <c r="G43" s="43" t="s">
        <v>143</v>
      </c>
      <c r="H43" s="43"/>
      <c r="I43" s="43"/>
      <c r="J43" s="43" t="s">
        <v>3</v>
      </c>
      <c r="K43" s="43" t="s">
        <v>4</v>
      </c>
      <c r="L43" s="44" t="str">
        <f>IF(Tabla2[[#This Row],[Fecha de Resp]]&gt;Tabla2[[#This Row],[Fecha MAX de Resp]],"Retrasado",IF(Tabla2[[#This Row],[Fecha de Resp]]=0,"Pendiente",IF(Tabla2[[#This Row],[Fecha de Resp]]&lt;=Tabla2[[#This Row],[Fecha MAX de Resp]],"A Tiempo",0)))</f>
        <v>A Tiempo</v>
      </c>
      <c r="M43" s="43"/>
      <c r="N43" s="44"/>
      <c r="O43" s="44" t="b">
        <f>EXACT(Tabla2[[#This Row],[Fecha de Recibido]],Tabla2[[#This Row],[Fecha MAX de Resp]])</f>
        <v>1</v>
      </c>
      <c r="P43" s="44" t="b">
        <f>EXACT(Tabla2[[#This Row],[Fecha de Recibido]],Tabla2[[#This Row],[Fecha de Resp]])</f>
        <v>1</v>
      </c>
      <c r="Q43" s="45">
        <f>DATE(YEAR(Tabla2[[#This Row],[Fecha de Recibido]]),MONTH(Tabla2[[#This Row],[Fecha de Recibido]]),1)</f>
        <v>45474</v>
      </c>
      <c r="R43" s="45" t="s">
        <v>63</v>
      </c>
    </row>
    <row r="44" spans="1:18" ht="37.5" customHeight="1">
      <c r="A44" s="63">
        <v>45511</v>
      </c>
      <c r="B44" s="42" t="s">
        <v>17</v>
      </c>
      <c r="C44" s="42" t="s">
        <v>144</v>
      </c>
      <c r="D44" s="60">
        <v>45511</v>
      </c>
      <c r="E44" s="60">
        <v>45511</v>
      </c>
      <c r="G44" s="43" t="s">
        <v>145</v>
      </c>
      <c r="H44" s="43"/>
      <c r="I44" s="43"/>
      <c r="J44" s="43" t="s">
        <v>3</v>
      </c>
      <c r="K44" s="43" t="s">
        <v>4</v>
      </c>
      <c r="L44" s="44" t="str">
        <f>IF(Tabla2[[#This Row],[Fecha de Resp]]&gt;Tabla2[[#This Row],[Fecha MAX de Resp]],"Retrasado",IF(Tabla2[[#This Row],[Fecha de Resp]]=0,"Pendiente",IF(Tabla2[[#This Row],[Fecha de Resp]]&lt;=Tabla2[[#This Row],[Fecha MAX de Resp]],"A Tiempo",0)))</f>
        <v>A Tiempo</v>
      </c>
      <c r="M44" s="43"/>
      <c r="N44" s="44"/>
      <c r="O44" s="44" t="b">
        <f>EXACT(Tabla2[[#This Row],[Fecha de Recibido]],Tabla2[[#This Row],[Fecha MAX de Resp]])</f>
        <v>1</v>
      </c>
      <c r="P44" s="44" t="b">
        <f>EXACT(Tabla2[[#This Row],[Fecha de Recibido]],Tabla2[[#This Row],[Fecha de Resp]])</f>
        <v>1</v>
      </c>
      <c r="Q44" s="45">
        <f>DATE(YEAR(Tabla2[[#This Row],[Fecha de Recibido]]),MONTH(Tabla2[[#This Row],[Fecha de Recibido]]),1)</f>
        <v>45505</v>
      </c>
      <c r="R44" s="45" t="s">
        <v>63</v>
      </c>
    </row>
    <row r="45" spans="1:18" ht="37.5" customHeight="1">
      <c r="A45" s="63">
        <v>45511</v>
      </c>
      <c r="B45" s="42" t="s">
        <v>17</v>
      </c>
      <c r="C45" s="42" t="s">
        <v>98</v>
      </c>
      <c r="D45" s="60">
        <v>45511</v>
      </c>
      <c r="E45" s="60">
        <v>45511</v>
      </c>
      <c r="G45" s="43" t="s">
        <v>145</v>
      </c>
      <c r="H45" s="43"/>
      <c r="I45" s="43"/>
      <c r="J45" s="43" t="s">
        <v>3</v>
      </c>
      <c r="K45" s="43" t="s">
        <v>4</v>
      </c>
      <c r="L45" s="44" t="str">
        <f>IF(Tabla2[[#This Row],[Fecha de Resp]]&gt;Tabla2[[#This Row],[Fecha MAX de Resp]],"Retrasado",IF(Tabla2[[#This Row],[Fecha de Resp]]=0,"Pendiente",IF(Tabla2[[#This Row],[Fecha de Resp]]&lt;=Tabla2[[#This Row],[Fecha MAX de Resp]],"A Tiempo",0)))</f>
        <v>A Tiempo</v>
      </c>
      <c r="M45" s="43"/>
      <c r="N45" s="44"/>
      <c r="O45" s="44" t="b">
        <f>EXACT(Tabla2[[#This Row],[Fecha de Recibido]],Tabla2[[#This Row],[Fecha MAX de Resp]])</f>
        <v>1</v>
      </c>
      <c r="P45" s="44" t="b">
        <f>EXACT(Tabla2[[#This Row],[Fecha de Recibido]],Tabla2[[#This Row],[Fecha de Resp]])</f>
        <v>1</v>
      </c>
      <c r="Q45" s="45">
        <f>DATE(YEAR(Tabla2[[#This Row],[Fecha de Recibido]]),MONTH(Tabla2[[#This Row],[Fecha de Recibido]]),1)</f>
        <v>45505</v>
      </c>
      <c r="R45" s="45" t="s">
        <v>63</v>
      </c>
    </row>
    <row r="46" spans="1:18" ht="37.5" customHeight="1">
      <c r="A46" s="63">
        <v>45260</v>
      </c>
      <c r="B46" s="42" t="s">
        <v>17</v>
      </c>
      <c r="C46" s="42" t="s">
        <v>146</v>
      </c>
      <c r="D46" s="60">
        <v>45351</v>
      </c>
      <c r="E46" s="60">
        <v>45351</v>
      </c>
      <c r="G46" s="43" t="s">
        <v>147</v>
      </c>
      <c r="H46" s="43"/>
      <c r="I46" s="43"/>
      <c r="J46" s="43" t="s">
        <v>14</v>
      </c>
      <c r="K46" s="43" t="s">
        <v>21</v>
      </c>
      <c r="L46" s="44" t="str">
        <f>IF(Tabla2[[#This Row],[Fecha de Resp]]&gt;Tabla2[[#This Row],[Fecha MAX de Resp]],"Retrasado",IF(Tabla2[[#This Row],[Fecha de Resp]]=0,"Pendiente",IF(Tabla2[[#This Row],[Fecha de Resp]]&lt;=Tabla2[[#This Row],[Fecha MAX de Resp]],"A Tiempo",0)))</f>
        <v>A Tiempo</v>
      </c>
      <c r="M46" s="43"/>
      <c r="N46" s="44"/>
      <c r="O46" s="48" t="b">
        <f>EXACT(Tabla2[[#This Row],[Fecha de Recibido]],Tabla2[[#This Row],[Fecha MAX de Resp]])</f>
        <v>0</v>
      </c>
      <c r="P46" s="48" t="b">
        <f>EXACT(Tabla2[[#This Row],[Fecha de Recibido]],Tabla2[[#This Row],[Fecha de Resp]])</f>
        <v>0</v>
      </c>
      <c r="Q46" s="45">
        <f>DATE(YEAR(Tabla2[[#This Row],[Fecha de Recibido]]),MONTH(Tabla2[[#This Row],[Fecha de Recibido]]),1)</f>
        <v>45231</v>
      </c>
      <c r="R46" s="45" t="s">
        <v>63</v>
      </c>
    </row>
    <row r="47" spans="1:18" ht="37.5" customHeight="1">
      <c r="A47" s="63">
        <v>45260</v>
      </c>
      <c r="B47" s="42" t="s">
        <v>17</v>
      </c>
      <c r="C47" s="42" t="s">
        <v>148</v>
      </c>
      <c r="D47" s="60">
        <v>45351</v>
      </c>
      <c r="E47" s="60">
        <v>45351</v>
      </c>
      <c r="G47" s="43" t="s">
        <v>149</v>
      </c>
      <c r="H47" s="43"/>
      <c r="I47" s="43"/>
      <c r="J47" s="43" t="s">
        <v>11</v>
      </c>
      <c r="K47" s="43" t="s">
        <v>21</v>
      </c>
      <c r="L47" s="44" t="str">
        <f>IF(Tabla2[[#This Row],[Fecha de Resp]]&gt;Tabla2[[#This Row],[Fecha MAX de Resp]],"Retrasado",IF(Tabla2[[#This Row],[Fecha de Resp]]=0,"Pendiente",IF(Tabla2[[#This Row],[Fecha de Resp]]&lt;=Tabla2[[#This Row],[Fecha MAX de Resp]],"A Tiempo",0)))</f>
        <v>A Tiempo</v>
      </c>
      <c r="M47" s="43"/>
      <c r="N47" s="44"/>
      <c r="O47" s="48" t="b">
        <f>EXACT(Tabla2[[#This Row],[Fecha de Recibido]],Tabla2[[#This Row],[Fecha MAX de Resp]])</f>
        <v>0</v>
      </c>
      <c r="P47" s="48" t="b">
        <f>EXACT(Tabla2[[#This Row],[Fecha de Recibido]],Tabla2[[#This Row],[Fecha de Resp]])</f>
        <v>0</v>
      </c>
      <c r="Q47" s="45">
        <f>DATE(YEAR(Tabla2[[#This Row],[Fecha de Recibido]]),MONTH(Tabla2[[#This Row],[Fecha de Recibido]]),1)</f>
        <v>45231</v>
      </c>
      <c r="R47" s="45" t="s">
        <v>63</v>
      </c>
    </row>
    <row r="48" spans="1:18" ht="37.5" customHeight="1">
      <c r="A48" s="63">
        <v>45260</v>
      </c>
      <c r="B48" s="42" t="s">
        <v>17</v>
      </c>
      <c r="C48" s="42" t="s">
        <v>150</v>
      </c>
      <c r="D48" s="60">
        <v>45351</v>
      </c>
      <c r="E48" s="60">
        <v>45351</v>
      </c>
      <c r="G48" s="43" t="s">
        <v>151</v>
      </c>
      <c r="H48" s="43"/>
      <c r="I48" s="43"/>
      <c r="J48" s="43" t="s">
        <v>8</v>
      </c>
      <c r="K48" s="43" t="s">
        <v>21</v>
      </c>
      <c r="L48" s="44" t="str">
        <f>IF(Tabla2[[#This Row],[Fecha de Resp]]&gt;Tabla2[[#This Row],[Fecha MAX de Resp]],"Retrasado",IF(Tabla2[[#This Row],[Fecha de Resp]]=0,"Pendiente",IF(Tabla2[[#This Row],[Fecha de Resp]]&lt;=Tabla2[[#This Row],[Fecha MAX de Resp]],"A Tiempo",0)))</f>
        <v>A Tiempo</v>
      </c>
      <c r="M48" s="43"/>
      <c r="N48" s="44"/>
      <c r="O48" s="48" t="b">
        <f>EXACT(Tabla2[[#This Row],[Fecha de Recibido]],Tabla2[[#This Row],[Fecha MAX de Resp]])</f>
        <v>0</v>
      </c>
      <c r="P48" s="48" t="b">
        <f>EXACT(Tabla2[[#This Row],[Fecha de Recibido]],Tabla2[[#This Row],[Fecha de Resp]])</f>
        <v>0</v>
      </c>
      <c r="Q48" s="45">
        <f>DATE(YEAR(Tabla2[[#This Row],[Fecha de Recibido]]),MONTH(Tabla2[[#This Row],[Fecha de Recibido]]),1)</f>
        <v>45231</v>
      </c>
      <c r="R48" s="45" t="s">
        <v>63</v>
      </c>
    </row>
    <row r="49" spans="1:18" ht="37.5" customHeight="1">
      <c r="A49" s="63">
        <v>45260</v>
      </c>
      <c r="B49" s="42" t="s">
        <v>17</v>
      </c>
      <c r="C49" s="42" t="s">
        <v>152</v>
      </c>
      <c r="D49" s="60">
        <v>45351</v>
      </c>
      <c r="E49" s="60">
        <v>45351</v>
      </c>
      <c r="G49" s="43" t="s">
        <v>153</v>
      </c>
      <c r="H49" s="43"/>
      <c r="I49" s="43"/>
      <c r="J49" s="43" t="s">
        <v>3</v>
      </c>
      <c r="K49" s="43" t="s">
        <v>21</v>
      </c>
      <c r="L49" s="44" t="str">
        <f>IF(Tabla2[[#This Row],[Fecha de Resp]]&gt;Tabla2[[#This Row],[Fecha MAX de Resp]],"Retrasado",IF(Tabla2[[#This Row],[Fecha de Resp]]=0,"Pendiente",IF(Tabla2[[#This Row],[Fecha de Resp]]&lt;=Tabla2[[#This Row],[Fecha MAX de Resp]],"A Tiempo",0)))</f>
        <v>A Tiempo</v>
      </c>
      <c r="M49" s="43"/>
      <c r="N49" s="44"/>
      <c r="O49" s="48" t="b">
        <f>EXACT(Tabla2[[#This Row],[Fecha de Recibido]],Tabla2[[#This Row],[Fecha MAX de Resp]])</f>
        <v>0</v>
      </c>
      <c r="P49" s="48" t="b">
        <f>EXACT(Tabla2[[#This Row],[Fecha de Recibido]],Tabla2[[#This Row],[Fecha de Resp]])</f>
        <v>0</v>
      </c>
      <c r="Q49" s="45">
        <f>DATE(YEAR(Tabla2[[#This Row],[Fecha de Recibido]]),MONTH(Tabla2[[#This Row],[Fecha de Recibido]]),1)</f>
        <v>45231</v>
      </c>
      <c r="R49" s="45" t="s">
        <v>63</v>
      </c>
    </row>
    <row r="50" spans="1:18" ht="37.5" customHeight="1">
      <c r="A50" s="63">
        <v>45513</v>
      </c>
      <c r="B50" s="42" t="s">
        <v>17</v>
      </c>
      <c r="C50" s="42" t="s">
        <v>98</v>
      </c>
      <c r="D50" s="60">
        <v>45520</v>
      </c>
      <c r="E50" s="60">
        <v>45520</v>
      </c>
      <c r="G50" s="43" t="s">
        <v>154</v>
      </c>
      <c r="H50" s="43"/>
      <c r="I50" s="43"/>
      <c r="J50" s="43" t="s">
        <v>11</v>
      </c>
      <c r="K50" s="43" t="s">
        <v>4</v>
      </c>
      <c r="L50" s="44" t="str">
        <f>IF(Tabla2[[#This Row],[Fecha de Resp]]&gt;Tabla2[[#This Row],[Fecha MAX de Resp]],"Retrasado",IF(Tabla2[[#This Row],[Fecha de Resp]]=0,"Pendiente",IF(Tabla2[[#This Row],[Fecha de Resp]]&lt;=Tabla2[[#This Row],[Fecha MAX de Resp]],"A Tiempo",0)))</f>
        <v>A Tiempo</v>
      </c>
      <c r="M50" s="43"/>
      <c r="N50" s="44"/>
      <c r="O50" s="44" t="b">
        <f>EXACT(Tabla2[[#This Row],[Fecha de Recibido]],Tabla2[[#This Row],[Fecha MAX de Resp]])</f>
        <v>0</v>
      </c>
      <c r="P50" s="44" t="b">
        <f>EXACT(Tabla2[[#This Row],[Fecha de Recibido]],Tabla2[[#This Row],[Fecha de Resp]])</f>
        <v>0</v>
      </c>
      <c r="Q50" s="45">
        <f>DATE(YEAR(Tabla2[[#This Row],[Fecha de Recibido]]),MONTH(Tabla2[[#This Row],[Fecha de Recibido]]),1)</f>
        <v>45505</v>
      </c>
      <c r="R50" s="45" t="s">
        <v>63</v>
      </c>
    </row>
    <row r="51" spans="1:18" ht="37.5" customHeight="1">
      <c r="A51" s="63">
        <v>45471</v>
      </c>
      <c r="B51" s="42" t="s">
        <v>32</v>
      </c>
      <c r="C51" s="42" t="s">
        <v>155</v>
      </c>
      <c r="D51" s="60">
        <v>45471</v>
      </c>
      <c r="E51" s="60">
        <v>45471</v>
      </c>
      <c r="G51" s="43" t="s">
        <v>156</v>
      </c>
      <c r="H51" s="43"/>
      <c r="I51" s="43"/>
      <c r="J51" s="43" t="s">
        <v>3</v>
      </c>
      <c r="K51" s="43" t="s">
        <v>15</v>
      </c>
      <c r="L51" s="44" t="str">
        <f>IF(Tabla2[[#This Row],[Fecha de Resp]]&gt;Tabla2[[#This Row],[Fecha MAX de Resp]],"Retrasado",IF(Tabla2[[#This Row],[Fecha de Resp]]=0,"Pendiente",IF(Tabla2[[#This Row],[Fecha de Resp]]&lt;=Tabla2[[#This Row],[Fecha MAX de Resp]],"A Tiempo",0)))</f>
        <v>A Tiempo</v>
      </c>
      <c r="M51" s="43"/>
      <c r="N51" s="44"/>
      <c r="O51" s="44" t="b">
        <f>EXACT(Tabla2[[#This Row],[Fecha de Recibido]],Tabla2[[#This Row],[Fecha MAX de Resp]])</f>
        <v>1</v>
      </c>
      <c r="P51" s="44" t="b">
        <f>EXACT(Tabla2[[#This Row],[Fecha de Recibido]],Tabla2[[#This Row],[Fecha de Resp]])</f>
        <v>1</v>
      </c>
      <c r="Q51" s="45">
        <f>DATE(YEAR(Tabla2[[#This Row],[Fecha de Recibido]]),MONTH(Tabla2[[#This Row],[Fecha de Recibido]]),1)</f>
        <v>45444</v>
      </c>
      <c r="R51" s="45" t="s">
        <v>63</v>
      </c>
    </row>
    <row r="52" spans="1:18" ht="37.5" customHeight="1">
      <c r="A52" s="63">
        <v>45471</v>
      </c>
      <c r="B52" s="42" t="s">
        <v>17</v>
      </c>
      <c r="C52" s="42" t="s">
        <v>157</v>
      </c>
      <c r="D52" s="60">
        <v>45471</v>
      </c>
      <c r="E52" s="60">
        <v>45471</v>
      </c>
      <c r="G52" s="43" t="s">
        <v>158</v>
      </c>
      <c r="H52" s="43"/>
      <c r="I52" s="43"/>
      <c r="J52" s="43" t="s">
        <v>3</v>
      </c>
      <c r="K52" s="43" t="s">
        <v>9</v>
      </c>
      <c r="L52" s="44" t="str">
        <f>IF(Tabla2[[#This Row],[Fecha de Resp]]&gt;Tabla2[[#This Row],[Fecha MAX de Resp]],"Retrasado",IF(Tabla2[[#This Row],[Fecha de Resp]]=0,"Pendiente",IF(Tabla2[[#This Row],[Fecha de Resp]]&lt;=Tabla2[[#This Row],[Fecha MAX de Resp]],"A Tiempo",0)))</f>
        <v>A Tiempo</v>
      </c>
      <c r="M52" s="43"/>
      <c r="N52" s="44"/>
      <c r="O52" s="44" t="b">
        <f>EXACT(Tabla2[[#This Row],[Fecha de Recibido]],Tabla2[[#This Row],[Fecha MAX de Resp]])</f>
        <v>1</v>
      </c>
      <c r="P52" s="44" t="b">
        <f>EXACT(Tabla2[[#This Row],[Fecha de Recibido]],Tabla2[[#This Row],[Fecha de Resp]])</f>
        <v>1</v>
      </c>
      <c r="Q52" s="45">
        <f>DATE(YEAR(Tabla2[[#This Row],[Fecha de Recibido]]),MONTH(Tabla2[[#This Row],[Fecha de Recibido]]),1)</f>
        <v>45444</v>
      </c>
      <c r="R52" s="45" t="s">
        <v>63</v>
      </c>
    </row>
    <row r="53" spans="1:18" ht="37.5" customHeight="1">
      <c r="A53" s="63">
        <v>45469</v>
      </c>
      <c r="B53" s="42" t="s">
        <v>17</v>
      </c>
      <c r="C53" s="42" t="s">
        <v>159</v>
      </c>
      <c r="D53" s="60">
        <v>45469</v>
      </c>
      <c r="E53" s="60">
        <v>45469</v>
      </c>
      <c r="G53" s="43" t="s">
        <v>160</v>
      </c>
      <c r="H53" s="43"/>
      <c r="I53" s="43"/>
      <c r="J53" s="43" t="s">
        <v>11</v>
      </c>
      <c r="K53" s="43" t="s">
        <v>9</v>
      </c>
      <c r="L53" s="44" t="str">
        <f>IF(Tabla2[[#This Row],[Fecha de Resp]]&gt;Tabla2[[#This Row],[Fecha MAX de Resp]],"Retrasado",IF(Tabla2[[#This Row],[Fecha de Resp]]=0,"Pendiente",IF(Tabla2[[#This Row],[Fecha de Resp]]&lt;=Tabla2[[#This Row],[Fecha MAX de Resp]],"A Tiempo",0)))</f>
        <v>A Tiempo</v>
      </c>
      <c r="M53" s="43"/>
      <c r="N53" s="44"/>
      <c r="O53" s="44" t="b">
        <f>EXACT(Tabla2[[#This Row],[Fecha de Recibido]],Tabla2[[#This Row],[Fecha MAX de Resp]])</f>
        <v>1</v>
      </c>
      <c r="P53" s="44" t="b">
        <f>EXACT(Tabla2[[#This Row],[Fecha de Recibido]],Tabla2[[#This Row],[Fecha de Resp]])</f>
        <v>1</v>
      </c>
      <c r="Q53" s="45">
        <f>DATE(YEAR(Tabla2[[#This Row],[Fecha de Recibido]]),MONTH(Tabla2[[#This Row],[Fecha de Recibido]]),1)</f>
        <v>45444</v>
      </c>
      <c r="R53" s="45" t="s">
        <v>63</v>
      </c>
    </row>
    <row r="54" spans="1:18" ht="37.5" customHeight="1">
      <c r="A54" s="63">
        <v>45468</v>
      </c>
      <c r="B54" s="42" t="s">
        <v>17</v>
      </c>
      <c r="C54" s="42" t="s">
        <v>161</v>
      </c>
      <c r="D54" s="60">
        <v>45468</v>
      </c>
      <c r="E54" s="60">
        <v>45468</v>
      </c>
      <c r="G54" s="43" t="s">
        <v>162</v>
      </c>
      <c r="H54" s="43"/>
      <c r="I54" s="43"/>
      <c r="J54" s="43" t="s">
        <v>3</v>
      </c>
      <c r="K54" s="43" t="s">
        <v>9</v>
      </c>
      <c r="L54" s="44" t="str">
        <f>IF(Tabla2[[#This Row],[Fecha de Resp]]&gt;Tabla2[[#This Row],[Fecha MAX de Resp]],"Retrasado",IF(Tabla2[[#This Row],[Fecha de Resp]]=0,"Pendiente",IF(Tabla2[[#This Row],[Fecha de Resp]]&lt;=Tabla2[[#This Row],[Fecha MAX de Resp]],"A Tiempo",0)))</f>
        <v>A Tiempo</v>
      </c>
      <c r="M54" s="43"/>
      <c r="N54" s="44"/>
      <c r="O54" s="44" t="b">
        <f>EXACT(Tabla2[[#This Row],[Fecha de Recibido]],Tabla2[[#This Row],[Fecha MAX de Resp]])</f>
        <v>1</v>
      </c>
      <c r="P54" s="44" t="b">
        <f>EXACT(Tabla2[[#This Row],[Fecha de Recibido]],Tabla2[[#This Row],[Fecha de Resp]])</f>
        <v>1</v>
      </c>
      <c r="Q54" s="45">
        <f>DATE(YEAR(Tabla2[[#This Row],[Fecha de Recibido]]),MONTH(Tabla2[[#This Row],[Fecha de Recibido]]),1)</f>
        <v>45444</v>
      </c>
      <c r="R54" s="45" t="s">
        <v>63</v>
      </c>
    </row>
    <row r="55" spans="1:18" ht="37.5" customHeight="1">
      <c r="A55" s="63">
        <v>45467</v>
      </c>
      <c r="B55" s="42" t="s">
        <v>17</v>
      </c>
      <c r="C55" s="42" t="s">
        <v>163</v>
      </c>
      <c r="D55" s="60">
        <v>45329</v>
      </c>
      <c r="E55" s="60">
        <v>45329</v>
      </c>
      <c r="G55" s="43" t="s">
        <v>154</v>
      </c>
      <c r="H55" s="43"/>
      <c r="I55" s="43"/>
      <c r="J55" s="43" t="s">
        <v>11</v>
      </c>
      <c r="K55" s="43" t="s">
        <v>12</v>
      </c>
      <c r="L55" s="44" t="str">
        <f>IF(Tabla2[[#This Row],[Fecha de Resp]]&gt;Tabla2[[#This Row],[Fecha MAX de Resp]],"Retrasado",IF(Tabla2[[#This Row],[Fecha de Resp]]=0,"Pendiente",IF(Tabla2[[#This Row],[Fecha de Resp]]&lt;=Tabla2[[#This Row],[Fecha MAX de Resp]],"A Tiempo",0)))</f>
        <v>A Tiempo</v>
      </c>
      <c r="M55" s="43"/>
      <c r="N55" s="44"/>
      <c r="O55" s="44" t="b">
        <f>EXACT(Tabla2[[#This Row],[Fecha de Recibido]],Tabla2[[#This Row],[Fecha MAX de Resp]])</f>
        <v>0</v>
      </c>
      <c r="P55" s="44" t="b">
        <f>EXACT(Tabla2[[#This Row],[Fecha de Recibido]],Tabla2[[#This Row],[Fecha de Resp]])</f>
        <v>0</v>
      </c>
      <c r="Q55" s="45">
        <f>DATE(YEAR(Tabla2[[#This Row],[Fecha de Recibido]]),MONTH(Tabla2[[#This Row],[Fecha de Recibido]]),1)</f>
        <v>45444</v>
      </c>
      <c r="R55" s="45" t="s">
        <v>63</v>
      </c>
    </row>
    <row r="56" spans="1:18" ht="37.5" customHeight="1">
      <c r="A56" s="63">
        <v>45467</v>
      </c>
      <c r="B56" s="42" t="s">
        <v>17</v>
      </c>
      <c r="C56" s="42" t="s">
        <v>164</v>
      </c>
      <c r="D56" s="60">
        <v>45469</v>
      </c>
      <c r="E56" s="60">
        <v>45469</v>
      </c>
      <c r="G56" s="43" t="s">
        <v>165</v>
      </c>
      <c r="H56" s="43"/>
      <c r="I56" s="43"/>
      <c r="J56" s="43" t="s">
        <v>11</v>
      </c>
      <c r="K56" s="43" t="s">
        <v>21</v>
      </c>
      <c r="L56" s="44" t="str">
        <f>IF(Tabla2[[#This Row],[Fecha de Resp]]&gt;Tabla2[[#This Row],[Fecha MAX de Resp]],"Retrasado",IF(Tabla2[[#This Row],[Fecha de Resp]]=0,"Pendiente",IF(Tabla2[[#This Row],[Fecha de Resp]]&lt;=Tabla2[[#This Row],[Fecha MAX de Resp]],"A Tiempo",0)))</f>
        <v>A Tiempo</v>
      </c>
      <c r="M56" s="43"/>
      <c r="N56" s="44"/>
      <c r="O56" s="44" t="b">
        <f>EXACT(Tabla2[[#This Row],[Fecha de Recibido]],Tabla2[[#This Row],[Fecha MAX de Resp]])</f>
        <v>0</v>
      </c>
      <c r="P56" s="44" t="b">
        <f>EXACT(Tabla2[[#This Row],[Fecha de Recibido]],Tabla2[[#This Row],[Fecha de Resp]])</f>
        <v>0</v>
      </c>
      <c r="Q56" s="45">
        <f>DATE(YEAR(Tabla2[[#This Row],[Fecha de Recibido]]),MONTH(Tabla2[[#This Row],[Fecha de Recibido]]),1)</f>
        <v>45444</v>
      </c>
      <c r="R56" s="45" t="s">
        <v>63</v>
      </c>
    </row>
    <row r="57" spans="1:18" ht="37.5" customHeight="1">
      <c r="A57" s="63">
        <v>45467</v>
      </c>
      <c r="B57" s="42" t="s">
        <v>17</v>
      </c>
      <c r="C57" s="42" t="s">
        <v>166</v>
      </c>
      <c r="D57" s="60">
        <v>45467</v>
      </c>
      <c r="E57" s="60">
        <v>45467</v>
      </c>
      <c r="G57" s="43" t="s">
        <v>167</v>
      </c>
      <c r="H57" s="43"/>
      <c r="I57" s="43"/>
      <c r="J57" s="43" t="s">
        <v>3</v>
      </c>
      <c r="K57" s="43" t="s">
        <v>12</v>
      </c>
      <c r="L57" s="44" t="str">
        <f>IF(Tabla2[[#This Row],[Fecha de Resp]]&gt;Tabla2[[#This Row],[Fecha MAX de Resp]],"Retrasado",IF(Tabla2[[#This Row],[Fecha de Resp]]=0,"Pendiente",IF(Tabla2[[#This Row],[Fecha de Resp]]&lt;=Tabla2[[#This Row],[Fecha MAX de Resp]],"A Tiempo",0)))</f>
        <v>A Tiempo</v>
      </c>
      <c r="M57" s="43"/>
      <c r="N57" s="44"/>
      <c r="O57" s="44" t="b">
        <f>EXACT(Tabla2[[#This Row],[Fecha de Recibido]],Tabla2[[#This Row],[Fecha MAX de Resp]])</f>
        <v>1</v>
      </c>
      <c r="P57" s="44" t="b">
        <f>EXACT(Tabla2[[#This Row],[Fecha de Recibido]],Tabla2[[#This Row],[Fecha de Resp]])</f>
        <v>1</v>
      </c>
      <c r="Q57" s="45">
        <f>DATE(YEAR(Tabla2[[#This Row],[Fecha de Recibido]]),MONTH(Tabla2[[#This Row],[Fecha de Recibido]]),1)</f>
        <v>45444</v>
      </c>
      <c r="R57" s="45" t="s">
        <v>63</v>
      </c>
    </row>
    <row r="58" spans="1:18" ht="37.5" customHeight="1">
      <c r="A58" s="63">
        <v>45463</v>
      </c>
      <c r="B58" s="42" t="s">
        <v>32</v>
      </c>
      <c r="C58" s="42" t="s">
        <v>168</v>
      </c>
      <c r="D58" s="60">
        <v>45463</v>
      </c>
      <c r="E58" s="60">
        <v>45463</v>
      </c>
      <c r="G58" s="43" t="s">
        <v>169</v>
      </c>
      <c r="H58" s="43"/>
      <c r="I58" s="43"/>
      <c r="J58" s="43" t="s">
        <v>3</v>
      </c>
      <c r="K58" s="43" t="s">
        <v>15</v>
      </c>
      <c r="L58" s="44" t="str">
        <f>IF(Tabla2[[#This Row],[Fecha de Resp]]&gt;Tabla2[[#This Row],[Fecha MAX de Resp]],"Retrasado",IF(Tabla2[[#This Row],[Fecha de Resp]]=0,"Pendiente",IF(Tabla2[[#This Row],[Fecha de Resp]]&lt;=Tabla2[[#This Row],[Fecha MAX de Resp]],"A Tiempo",0)))</f>
        <v>A Tiempo</v>
      </c>
      <c r="M58" s="43"/>
      <c r="N58" s="44"/>
      <c r="O58" s="44" t="b">
        <f>EXACT(Tabla2[[#This Row],[Fecha de Recibido]],Tabla2[[#This Row],[Fecha MAX de Resp]])</f>
        <v>1</v>
      </c>
      <c r="P58" s="44" t="b">
        <f>EXACT(Tabla2[[#This Row],[Fecha de Recibido]],Tabla2[[#This Row],[Fecha de Resp]])</f>
        <v>1</v>
      </c>
      <c r="Q58" s="45">
        <f>DATE(YEAR(Tabla2[[#This Row],[Fecha de Recibido]]),MONTH(Tabla2[[#This Row],[Fecha de Recibido]]),1)</f>
        <v>45444</v>
      </c>
      <c r="R58" s="45" t="s">
        <v>63</v>
      </c>
    </row>
    <row r="59" spans="1:18" ht="37.5" customHeight="1">
      <c r="A59" s="63">
        <v>45462</v>
      </c>
      <c r="B59" s="42" t="s">
        <v>32</v>
      </c>
      <c r="C59" s="42" t="s">
        <v>170</v>
      </c>
      <c r="D59" s="60">
        <v>45462</v>
      </c>
      <c r="E59" s="60">
        <v>45462</v>
      </c>
      <c r="G59" s="43" t="s">
        <v>171</v>
      </c>
      <c r="H59" s="43"/>
      <c r="I59" s="43"/>
      <c r="J59" s="43" t="s">
        <v>3</v>
      </c>
      <c r="K59" s="43" t="s">
        <v>15</v>
      </c>
      <c r="L59" s="44" t="str">
        <f>IF(Tabla2[[#This Row],[Fecha de Resp]]&gt;Tabla2[[#This Row],[Fecha MAX de Resp]],"Retrasado",IF(Tabla2[[#This Row],[Fecha de Resp]]=0,"Pendiente",IF(Tabla2[[#This Row],[Fecha de Resp]]&lt;=Tabla2[[#This Row],[Fecha MAX de Resp]],"A Tiempo",0)))</f>
        <v>A Tiempo</v>
      </c>
      <c r="M59" s="43"/>
      <c r="N59" s="44"/>
      <c r="O59" s="44" t="b">
        <f>EXACT(Tabla2[[#This Row],[Fecha de Recibido]],Tabla2[[#This Row],[Fecha MAX de Resp]])</f>
        <v>1</v>
      </c>
      <c r="P59" s="44" t="b">
        <f>EXACT(Tabla2[[#This Row],[Fecha de Recibido]],Tabla2[[#This Row],[Fecha de Resp]])</f>
        <v>1</v>
      </c>
      <c r="Q59" s="45">
        <f>DATE(YEAR(Tabla2[[#This Row],[Fecha de Recibido]]),MONTH(Tabla2[[#This Row],[Fecha de Recibido]]),1)</f>
        <v>45444</v>
      </c>
      <c r="R59" s="45" t="s">
        <v>63</v>
      </c>
    </row>
    <row r="60" spans="1:18" ht="37.5" customHeight="1">
      <c r="A60" s="63">
        <v>45462</v>
      </c>
      <c r="B60" s="42" t="s">
        <v>30</v>
      </c>
      <c r="C60" s="42" t="s">
        <v>172</v>
      </c>
      <c r="D60" s="60">
        <v>45464</v>
      </c>
      <c r="E60" s="60">
        <v>45464</v>
      </c>
      <c r="G60" s="43" t="s">
        <v>173</v>
      </c>
      <c r="H60" s="43"/>
      <c r="I60" s="43"/>
      <c r="J60" s="43" t="s">
        <v>3</v>
      </c>
      <c r="K60" s="43" t="s">
        <v>12</v>
      </c>
      <c r="L60" s="44" t="str">
        <f>IF(Tabla2[[#This Row],[Fecha de Resp]]&gt;Tabla2[[#This Row],[Fecha MAX de Resp]],"Retrasado",IF(Tabla2[[#This Row],[Fecha de Resp]]=0,"Pendiente",IF(Tabla2[[#This Row],[Fecha de Resp]]&lt;=Tabla2[[#This Row],[Fecha MAX de Resp]],"A Tiempo",0)))</f>
        <v>A Tiempo</v>
      </c>
      <c r="M60" s="43"/>
      <c r="N60" s="44"/>
      <c r="O60" s="44" t="b">
        <f>EXACT(Tabla2[[#This Row],[Fecha de Recibido]],Tabla2[[#This Row],[Fecha MAX de Resp]])</f>
        <v>0</v>
      </c>
      <c r="P60" s="44" t="b">
        <f>EXACT(Tabla2[[#This Row],[Fecha de Recibido]],Tabla2[[#This Row],[Fecha de Resp]])</f>
        <v>0</v>
      </c>
      <c r="Q60" s="45">
        <f>DATE(YEAR(Tabla2[[#This Row],[Fecha de Recibido]]),MONTH(Tabla2[[#This Row],[Fecha de Recibido]]),1)</f>
        <v>45444</v>
      </c>
      <c r="R60" s="45" t="s">
        <v>63</v>
      </c>
    </row>
    <row r="61" spans="1:18" ht="37.5" customHeight="1">
      <c r="A61" s="63">
        <v>45457</v>
      </c>
      <c r="B61" s="42" t="s">
        <v>17</v>
      </c>
      <c r="C61" s="42" t="s">
        <v>174</v>
      </c>
      <c r="D61" s="60">
        <v>45462</v>
      </c>
      <c r="E61" s="60">
        <v>45462</v>
      </c>
      <c r="G61" s="43" t="s">
        <v>175</v>
      </c>
      <c r="H61" s="43"/>
      <c r="I61" s="43"/>
      <c r="J61" s="43" t="s">
        <v>11</v>
      </c>
      <c r="K61" s="43" t="s">
        <v>12</v>
      </c>
      <c r="L61" s="44" t="str">
        <f>IF(Tabla2[[#This Row],[Fecha de Resp]]&gt;Tabla2[[#This Row],[Fecha MAX de Resp]],"Retrasado",IF(Tabla2[[#This Row],[Fecha de Resp]]=0,"Pendiente",IF(Tabla2[[#This Row],[Fecha de Resp]]&lt;=Tabla2[[#This Row],[Fecha MAX de Resp]],"A Tiempo",0)))</f>
        <v>A Tiempo</v>
      </c>
      <c r="M61" s="43"/>
      <c r="N61" s="44"/>
      <c r="O61" s="44" t="b">
        <f>EXACT(Tabla2[[#This Row],[Fecha de Recibido]],Tabla2[[#This Row],[Fecha MAX de Resp]])</f>
        <v>0</v>
      </c>
      <c r="P61" s="44" t="b">
        <f>EXACT(Tabla2[[#This Row],[Fecha de Recibido]],Tabla2[[#This Row],[Fecha de Resp]])</f>
        <v>0</v>
      </c>
      <c r="Q61" s="45">
        <f>DATE(YEAR(Tabla2[[#This Row],[Fecha de Recibido]]),MONTH(Tabla2[[#This Row],[Fecha de Recibido]]),1)</f>
        <v>45444</v>
      </c>
      <c r="R61" s="45" t="s">
        <v>63</v>
      </c>
    </row>
    <row r="62" spans="1:18" ht="37.5" customHeight="1">
      <c r="A62" s="63">
        <v>45454</v>
      </c>
      <c r="B62" s="42" t="s">
        <v>17</v>
      </c>
      <c r="C62" s="42" t="s">
        <v>176</v>
      </c>
      <c r="D62" s="60">
        <v>45454</v>
      </c>
      <c r="E62" s="60">
        <v>45454</v>
      </c>
      <c r="G62" s="43" t="s">
        <v>177</v>
      </c>
      <c r="H62" s="43"/>
      <c r="I62" s="43"/>
      <c r="J62" s="43" t="s">
        <v>3</v>
      </c>
      <c r="K62" s="43" t="s">
        <v>4</v>
      </c>
      <c r="L62" s="44" t="str">
        <f>IF(Tabla2[[#This Row],[Fecha de Resp]]&gt;Tabla2[[#This Row],[Fecha MAX de Resp]],"Retrasado",IF(Tabla2[[#This Row],[Fecha de Resp]]=0,"Pendiente",IF(Tabla2[[#This Row],[Fecha de Resp]]&lt;=Tabla2[[#This Row],[Fecha MAX de Resp]],"A Tiempo",0)))</f>
        <v>A Tiempo</v>
      </c>
      <c r="M62" s="43"/>
      <c r="N62" s="44"/>
      <c r="O62" s="44" t="b">
        <f>EXACT(Tabla2[[#This Row],[Fecha de Recibido]],Tabla2[[#This Row],[Fecha MAX de Resp]])</f>
        <v>1</v>
      </c>
      <c r="P62" s="44" t="b">
        <f>EXACT(Tabla2[[#This Row],[Fecha de Recibido]],Tabla2[[#This Row],[Fecha de Resp]])</f>
        <v>1</v>
      </c>
      <c r="Q62" s="45">
        <f>DATE(YEAR(Tabla2[[#This Row],[Fecha de Recibido]]),MONTH(Tabla2[[#This Row],[Fecha de Recibido]]),1)</f>
        <v>45444</v>
      </c>
      <c r="R62" s="45" t="s">
        <v>63</v>
      </c>
    </row>
    <row r="63" spans="1:18" ht="37.5" customHeight="1">
      <c r="A63" s="63">
        <v>45448</v>
      </c>
      <c r="B63" s="42" t="s">
        <v>17</v>
      </c>
      <c r="C63" s="42" t="s">
        <v>178</v>
      </c>
      <c r="D63" s="60">
        <v>45462</v>
      </c>
      <c r="E63" s="60">
        <v>45462</v>
      </c>
      <c r="G63" s="43" t="s">
        <v>179</v>
      </c>
      <c r="H63" s="43"/>
      <c r="I63" s="43"/>
      <c r="J63" s="43" t="s">
        <v>3</v>
      </c>
      <c r="K63" s="43" t="s">
        <v>12</v>
      </c>
      <c r="L63" s="44" t="str">
        <f>IF(Tabla2[[#This Row],[Fecha de Resp]]&gt;Tabla2[[#This Row],[Fecha MAX de Resp]],"Retrasado",IF(Tabla2[[#This Row],[Fecha de Resp]]=0,"Pendiente",IF(Tabla2[[#This Row],[Fecha de Resp]]&lt;=Tabla2[[#This Row],[Fecha MAX de Resp]],"A Tiempo",0)))</f>
        <v>A Tiempo</v>
      </c>
      <c r="M63" s="43"/>
      <c r="N63" s="44"/>
      <c r="O63" s="44" t="b">
        <f>EXACT(Tabla2[[#This Row],[Fecha de Recibido]],Tabla2[[#This Row],[Fecha MAX de Resp]])</f>
        <v>0</v>
      </c>
      <c r="P63" s="44" t="b">
        <f>EXACT(Tabla2[[#This Row],[Fecha de Recibido]],Tabla2[[#This Row],[Fecha de Resp]])</f>
        <v>0</v>
      </c>
      <c r="Q63" s="45">
        <f>DATE(YEAR(Tabla2[[#This Row],[Fecha de Recibido]]),MONTH(Tabla2[[#This Row],[Fecha de Recibido]]),1)</f>
        <v>45444</v>
      </c>
      <c r="R63" s="45" t="s">
        <v>63</v>
      </c>
    </row>
    <row r="64" spans="1:18" ht="37.5" customHeight="1">
      <c r="A64" s="63">
        <v>45448</v>
      </c>
      <c r="B64" s="42" t="s">
        <v>41</v>
      </c>
      <c r="C64" s="42" t="s">
        <v>180</v>
      </c>
      <c r="D64" s="60">
        <v>45448</v>
      </c>
      <c r="E64" s="60">
        <v>45448</v>
      </c>
      <c r="G64" s="43" t="s">
        <v>181</v>
      </c>
      <c r="H64" s="43"/>
      <c r="I64" s="43"/>
      <c r="J64" s="43" t="s">
        <v>8</v>
      </c>
      <c r="K64" s="43" t="s">
        <v>9</v>
      </c>
      <c r="L64" s="44" t="str">
        <f>IF(Tabla2[[#This Row],[Fecha de Resp]]&gt;Tabla2[[#This Row],[Fecha MAX de Resp]],"Retrasado",IF(Tabla2[[#This Row],[Fecha de Resp]]=0,"Pendiente",IF(Tabla2[[#This Row],[Fecha de Resp]]&lt;=Tabla2[[#This Row],[Fecha MAX de Resp]],"A Tiempo",0)))</f>
        <v>A Tiempo</v>
      </c>
      <c r="M64" s="43"/>
      <c r="N64" s="44"/>
      <c r="O64" s="44" t="b">
        <f>EXACT(Tabla2[[#This Row],[Fecha de Recibido]],Tabla2[[#This Row],[Fecha MAX de Resp]])</f>
        <v>1</v>
      </c>
      <c r="P64" s="44" t="b">
        <f>EXACT(Tabla2[[#This Row],[Fecha de Recibido]],Tabla2[[#This Row],[Fecha de Resp]])</f>
        <v>1</v>
      </c>
      <c r="Q64" s="45">
        <f>DATE(YEAR(Tabla2[[#This Row],[Fecha de Recibido]]),MONTH(Tabla2[[#This Row],[Fecha de Recibido]]),1)</f>
        <v>45444</v>
      </c>
      <c r="R64" s="45" t="s">
        <v>63</v>
      </c>
    </row>
    <row r="65" spans="1:18" ht="37.5" customHeight="1">
      <c r="A65" s="63">
        <v>45448</v>
      </c>
      <c r="B65" s="42" t="s">
        <v>41</v>
      </c>
      <c r="C65" s="42" t="s">
        <v>180</v>
      </c>
      <c r="D65" s="60">
        <v>45448</v>
      </c>
      <c r="E65" s="60">
        <v>45448</v>
      </c>
      <c r="G65" s="43" t="s">
        <v>182</v>
      </c>
      <c r="H65" s="43"/>
      <c r="I65" s="43"/>
      <c r="J65" s="43" t="s">
        <v>8</v>
      </c>
      <c r="K65" s="43" t="s">
        <v>9</v>
      </c>
      <c r="L65" s="44" t="str">
        <f>IF(Tabla2[[#This Row],[Fecha de Resp]]&gt;Tabla2[[#This Row],[Fecha MAX de Resp]],"Retrasado",IF(Tabla2[[#This Row],[Fecha de Resp]]=0,"Pendiente",IF(Tabla2[[#This Row],[Fecha de Resp]]&lt;=Tabla2[[#This Row],[Fecha MAX de Resp]],"A Tiempo",0)))</f>
        <v>A Tiempo</v>
      </c>
      <c r="M65" s="43"/>
      <c r="N65" s="44"/>
      <c r="O65" s="44" t="b">
        <f>EXACT(Tabla2[[#This Row],[Fecha de Recibido]],Tabla2[[#This Row],[Fecha MAX de Resp]])</f>
        <v>1</v>
      </c>
      <c r="P65" s="44" t="b">
        <f>EXACT(Tabla2[[#This Row],[Fecha de Recibido]],Tabla2[[#This Row],[Fecha de Resp]])</f>
        <v>1</v>
      </c>
      <c r="Q65" s="45">
        <f>DATE(YEAR(Tabla2[[#This Row],[Fecha de Recibido]]),MONTH(Tabla2[[#This Row],[Fecha de Recibido]]),1)</f>
        <v>45444</v>
      </c>
      <c r="R65" s="45" t="s">
        <v>63</v>
      </c>
    </row>
    <row r="66" spans="1:18" ht="37.5" customHeight="1">
      <c r="A66" s="63">
        <v>45448</v>
      </c>
      <c r="B66" s="42" t="s">
        <v>41</v>
      </c>
      <c r="C66" s="42" t="s">
        <v>183</v>
      </c>
      <c r="D66" s="60">
        <v>45448</v>
      </c>
      <c r="E66" s="60">
        <v>45448</v>
      </c>
      <c r="G66" s="43" t="s">
        <v>184</v>
      </c>
      <c r="H66" s="43"/>
      <c r="I66" s="43"/>
      <c r="J66" s="43" t="s">
        <v>3</v>
      </c>
      <c r="K66" s="43" t="s">
        <v>9</v>
      </c>
      <c r="L66" s="44" t="str">
        <f>IF(Tabla2[[#This Row],[Fecha de Resp]]&gt;Tabla2[[#This Row],[Fecha MAX de Resp]],"Retrasado",IF(Tabla2[[#This Row],[Fecha de Resp]]=0,"Pendiente",IF(Tabla2[[#This Row],[Fecha de Resp]]&lt;=Tabla2[[#This Row],[Fecha MAX de Resp]],"A Tiempo",0)))</f>
        <v>A Tiempo</v>
      </c>
      <c r="M66" s="43"/>
      <c r="N66" s="44"/>
      <c r="O66" s="44" t="b">
        <f>EXACT(Tabla2[[#This Row],[Fecha de Recibido]],Tabla2[[#This Row],[Fecha MAX de Resp]])</f>
        <v>1</v>
      </c>
      <c r="P66" s="44" t="b">
        <f>EXACT(Tabla2[[#This Row],[Fecha de Recibido]],Tabla2[[#This Row],[Fecha de Resp]])</f>
        <v>1</v>
      </c>
      <c r="Q66" s="45">
        <f>DATE(YEAR(Tabla2[[#This Row],[Fecha de Recibido]]),MONTH(Tabla2[[#This Row],[Fecha de Recibido]]),1)</f>
        <v>45444</v>
      </c>
      <c r="R66" s="45" t="s">
        <v>63</v>
      </c>
    </row>
    <row r="67" spans="1:18" ht="37.5" customHeight="1">
      <c r="A67" s="63">
        <v>45447</v>
      </c>
      <c r="B67" s="42" t="s">
        <v>32</v>
      </c>
      <c r="C67" s="42" t="s">
        <v>185</v>
      </c>
      <c r="D67" s="60">
        <v>45447</v>
      </c>
      <c r="E67" s="60">
        <v>45447</v>
      </c>
      <c r="G67" s="43" t="s">
        <v>186</v>
      </c>
      <c r="H67" s="43"/>
      <c r="I67" s="43"/>
      <c r="J67" s="43" t="s">
        <v>3</v>
      </c>
      <c r="K67" s="43" t="s">
        <v>18</v>
      </c>
      <c r="L67" s="44" t="str">
        <f>IF(Tabla2[[#This Row],[Fecha de Resp]]&gt;Tabla2[[#This Row],[Fecha MAX de Resp]],"Retrasado",IF(Tabla2[[#This Row],[Fecha de Resp]]=0,"Pendiente",IF(Tabla2[[#This Row],[Fecha de Resp]]&lt;=Tabla2[[#This Row],[Fecha MAX de Resp]],"A Tiempo",0)))</f>
        <v>A Tiempo</v>
      </c>
      <c r="M67" s="43"/>
      <c r="N67" s="44"/>
      <c r="O67" s="44" t="b">
        <f>EXACT(Tabla2[[#This Row],[Fecha de Recibido]],Tabla2[[#This Row],[Fecha MAX de Resp]])</f>
        <v>1</v>
      </c>
      <c r="P67" s="44" t="b">
        <f>EXACT(Tabla2[[#This Row],[Fecha de Recibido]],Tabla2[[#This Row],[Fecha de Resp]])</f>
        <v>1</v>
      </c>
      <c r="Q67" s="45">
        <f>DATE(YEAR(Tabla2[[#This Row],[Fecha de Recibido]]),MONTH(Tabla2[[#This Row],[Fecha de Recibido]]),1)</f>
        <v>45444</v>
      </c>
      <c r="R67" s="45" t="s">
        <v>63</v>
      </c>
    </row>
    <row r="68" spans="1:18" ht="37.5" customHeight="1">
      <c r="A68" s="63">
        <v>45443</v>
      </c>
      <c r="B68" s="42" t="s">
        <v>30</v>
      </c>
      <c r="C68" s="42" t="s">
        <v>187</v>
      </c>
      <c r="D68" s="60">
        <v>45443</v>
      </c>
      <c r="E68" s="60">
        <v>45443</v>
      </c>
      <c r="G68" s="43" t="s">
        <v>188</v>
      </c>
      <c r="H68" s="43"/>
      <c r="I68" s="43"/>
      <c r="J68" s="43" t="s">
        <v>3</v>
      </c>
      <c r="K68" s="43" t="s">
        <v>12</v>
      </c>
      <c r="L68" s="44" t="str">
        <f>IF(Tabla2[[#This Row],[Fecha de Resp]]&gt;Tabla2[[#This Row],[Fecha MAX de Resp]],"Retrasado",IF(Tabla2[[#This Row],[Fecha de Resp]]=0,"Pendiente",IF(Tabla2[[#This Row],[Fecha de Resp]]&lt;=Tabla2[[#This Row],[Fecha MAX de Resp]],"A Tiempo",0)))</f>
        <v>A Tiempo</v>
      </c>
      <c r="M68" s="43"/>
      <c r="N68" s="44"/>
      <c r="O68" s="44" t="b">
        <f>EXACT(Tabla2[[#This Row],[Fecha de Recibido]],Tabla2[[#This Row],[Fecha MAX de Resp]])</f>
        <v>1</v>
      </c>
      <c r="P68" s="44" t="b">
        <f>EXACT(Tabla2[[#This Row],[Fecha de Recibido]],Tabla2[[#This Row],[Fecha de Resp]])</f>
        <v>1</v>
      </c>
      <c r="Q68" s="45">
        <f>DATE(YEAR(Tabla2[[#This Row],[Fecha de Recibido]]),MONTH(Tabla2[[#This Row],[Fecha de Recibido]]),1)</f>
        <v>45413</v>
      </c>
      <c r="R68" s="45" t="s">
        <v>63</v>
      </c>
    </row>
    <row r="69" spans="1:18" ht="37.5" customHeight="1">
      <c r="A69" s="63">
        <v>45440</v>
      </c>
      <c r="B69" s="42" t="s">
        <v>30</v>
      </c>
      <c r="C69" s="42" t="s">
        <v>189</v>
      </c>
      <c r="D69" s="60">
        <v>45440</v>
      </c>
      <c r="E69" s="60">
        <v>45440</v>
      </c>
      <c r="G69" s="43" t="s">
        <v>190</v>
      </c>
      <c r="H69" s="43"/>
      <c r="I69" s="43"/>
      <c r="J69" s="43" t="s">
        <v>3</v>
      </c>
      <c r="K69" s="43" t="s">
        <v>9</v>
      </c>
      <c r="L69" s="44" t="str">
        <f>IF(Tabla2[[#This Row],[Fecha de Resp]]&gt;Tabla2[[#This Row],[Fecha MAX de Resp]],"Retrasado",IF(Tabla2[[#This Row],[Fecha de Resp]]=0,"Pendiente",IF(Tabla2[[#This Row],[Fecha de Resp]]&lt;=Tabla2[[#This Row],[Fecha MAX de Resp]],"A Tiempo",0)))</f>
        <v>A Tiempo</v>
      </c>
      <c r="M69" s="43"/>
      <c r="N69" s="44"/>
      <c r="O69" s="44" t="b">
        <f>EXACT(Tabla2[[#This Row],[Fecha de Recibido]],Tabla2[[#This Row],[Fecha MAX de Resp]])</f>
        <v>1</v>
      </c>
      <c r="P69" s="44" t="b">
        <f>EXACT(Tabla2[[#This Row],[Fecha de Recibido]],Tabla2[[#This Row],[Fecha de Resp]])</f>
        <v>1</v>
      </c>
      <c r="Q69" s="45">
        <f>DATE(YEAR(Tabla2[[#This Row],[Fecha de Recibido]]),MONTH(Tabla2[[#This Row],[Fecha de Recibido]]),1)</f>
        <v>45413</v>
      </c>
      <c r="R69" s="45" t="s">
        <v>63</v>
      </c>
    </row>
    <row r="70" spans="1:18" ht="37.5" customHeight="1">
      <c r="A70" s="63">
        <v>45440</v>
      </c>
      <c r="B70" s="42" t="s">
        <v>30</v>
      </c>
      <c r="C70" s="42" t="s">
        <v>191</v>
      </c>
      <c r="D70" s="60">
        <v>45440</v>
      </c>
      <c r="E70" s="60">
        <v>45440</v>
      </c>
      <c r="G70" s="43" t="s">
        <v>192</v>
      </c>
      <c r="H70" s="43"/>
      <c r="I70" s="43"/>
      <c r="J70" s="43" t="s">
        <v>8</v>
      </c>
      <c r="K70" s="43" t="s">
        <v>23</v>
      </c>
      <c r="L70" s="44" t="str">
        <f>IF(Tabla2[[#This Row],[Fecha de Resp]]&gt;Tabla2[[#This Row],[Fecha MAX de Resp]],"Retrasado",IF(Tabla2[[#This Row],[Fecha de Resp]]=0,"Pendiente",IF(Tabla2[[#This Row],[Fecha de Resp]]&lt;=Tabla2[[#This Row],[Fecha MAX de Resp]],"A Tiempo",0)))</f>
        <v>A Tiempo</v>
      </c>
      <c r="M70" s="43"/>
      <c r="N70" s="44"/>
      <c r="O70" s="44" t="b">
        <f>EXACT(Tabla2[[#This Row],[Fecha de Recibido]],Tabla2[[#This Row],[Fecha MAX de Resp]])</f>
        <v>1</v>
      </c>
      <c r="P70" s="44" t="b">
        <f>EXACT(Tabla2[[#This Row],[Fecha de Recibido]],Tabla2[[#This Row],[Fecha de Resp]])</f>
        <v>1</v>
      </c>
      <c r="Q70" s="45">
        <f>DATE(YEAR(Tabla2[[#This Row],[Fecha de Recibido]]),MONTH(Tabla2[[#This Row],[Fecha de Recibido]]),1)</f>
        <v>45413</v>
      </c>
      <c r="R70" s="45" t="s">
        <v>63</v>
      </c>
    </row>
    <row r="71" spans="1:18" ht="37.5" customHeight="1">
      <c r="A71" s="63">
        <v>45440</v>
      </c>
      <c r="B71" s="42" t="s">
        <v>30</v>
      </c>
      <c r="C71" s="42" t="s">
        <v>193</v>
      </c>
      <c r="D71" s="60">
        <v>45440</v>
      </c>
      <c r="E71" s="60">
        <v>45440</v>
      </c>
      <c r="G71" s="43" t="s">
        <v>194</v>
      </c>
      <c r="H71" s="43"/>
      <c r="I71" s="43"/>
      <c r="J71" s="43" t="s">
        <v>14</v>
      </c>
      <c r="K71" s="43" t="s">
        <v>23</v>
      </c>
      <c r="L71" s="44" t="str">
        <f>IF(Tabla2[[#This Row],[Fecha de Resp]]&gt;Tabla2[[#This Row],[Fecha MAX de Resp]],"Retrasado",IF(Tabla2[[#This Row],[Fecha de Resp]]=0,"Pendiente",IF(Tabla2[[#This Row],[Fecha de Resp]]&lt;=Tabla2[[#This Row],[Fecha MAX de Resp]],"A Tiempo",0)))</f>
        <v>A Tiempo</v>
      </c>
      <c r="M71" s="43"/>
      <c r="N71" s="44"/>
      <c r="O71" s="44" t="b">
        <f>EXACT(Tabla2[[#This Row],[Fecha de Recibido]],Tabla2[[#This Row],[Fecha MAX de Resp]])</f>
        <v>1</v>
      </c>
      <c r="P71" s="44" t="b">
        <f>EXACT(Tabla2[[#This Row],[Fecha de Recibido]],Tabla2[[#This Row],[Fecha de Resp]])</f>
        <v>1</v>
      </c>
      <c r="Q71" s="45">
        <f>DATE(YEAR(Tabla2[[#This Row],[Fecha de Recibido]]),MONTH(Tabla2[[#This Row],[Fecha de Recibido]]),1)</f>
        <v>45413</v>
      </c>
      <c r="R71" s="45" t="s">
        <v>63</v>
      </c>
    </row>
    <row r="72" spans="1:18" ht="37.5" customHeight="1">
      <c r="A72" s="63">
        <v>45440</v>
      </c>
      <c r="B72" s="42" t="s">
        <v>30</v>
      </c>
      <c r="C72" s="42" t="s">
        <v>195</v>
      </c>
      <c r="D72" s="60">
        <v>45440</v>
      </c>
      <c r="E72" s="60">
        <v>45440</v>
      </c>
      <c r="G72" s="43" t="s">
        <v>196</v>
      </c>
      <c r="H72" s="43"/>
      <c r="I72" s="43"/>
      <c r="J72" s="43" t="s">
        <v>14</v>
      </c>
      <c r="K72" s="43" t="s">
        <v>23</v>
      </c>
      <c r="L72" s="44" t="str">
        <f>IF(Tabla2[[#This Row],[Fecha de Resp]]&gt;Tabla2[[#This Row],[Fecha MAX de Resp]],"Retrasado",IF(Tabla2[[#This Row],[Fecha de Resp]]=0,"Pendiente",IF(Tabla2[[#This Row],[Fecha de Resp]]&lt;=Tabla2[[#This Row],[Fecha MAX de Resp]],"A Tiempo",0)))</f>
        <v>A Tiempo</v>
      </c>
      <c r="M72" s="43"/>
      <c r="N72" s="44"/>
      <c r="O72" s="44" t="b">
        <f>EXACT(Tabla2[[#This Row],[Fecha de Recibido]],Tabla2[[#This Row],[Fecha MAX de Resp]])</f>
        <v>1</v>
      </c>
      <c r="P72" s="44" t="b">
        <f>EXACT(Tabla2[[#This Row],[Fecha de Recibido]],Tabla2[[#This Row],[Fecha de Resp]])</f>
        <v>1</v>
      </c>
      <c r="Q72" s="45">
        <f>DATE(YEAR(Tabla2[[#This Row],[Fecha de Recibido]]),MONTH(Tabla2[[#This Row],[Fecha de Recibido]]),1)</f>
        <v>45413</v>
      </c>
      <c r="R72" s="45" t="s">
        <v>63</v>
      </c>
    </row>
    <row r="73" spans="1:18" ht="37.5" customHeight="1">
      <c r="A73" s="63">
        <v>45440</v>
      </c>
      <c r="B73" s="42" t="s">
        <v>30</v>
      </c>
      <c r="C73" s="42" t="s">
        <v>197</v>
      </c>
      <c r="D73" s="60">
        <v>45440</v>
      </c>
      <c r="E73" s="60">
        <v>45440</v>
      </c>
      <c r="G73" s="43" t="s">
        <v>198</v>
      </c>
      <c r="H73" s="43"/>
      <c r="I73" s="43"/>
      <c r="J73" s="43" t="s">
        <v>14</v>
      </c>
      <c r="K73" s="43" t="s">
        <v>23</v>
      </c>
      <c r="L73" s="44" t="str">
        <f>IF(Tabla2[[#This Row],[Fecha de Resp]]&gt;Tabla2[[#This Row],[Fecha MAX de Resp]],"Retrasado",IF(Tabla2[[#This Row],[Fecha de Resp]]=0,"Pendiente",IF(Tabla2[[#This Row],[Fecha de Resp]]&lt;=Tabla2[[#This Row],[Fecha MAX de Resp]],"A Tiempo",0)))</f>
        <v>A Tiempo</v>
      </c>
      <c r="M73" s="43"/>
      <c r="N73" s="44"/>
      <c r="O73" s="44" t="b">
        <f>EXACT(Tabla2[[#This Row],[Fecha de Recibido]],Tabla2[[#This Row],[Fecha MAX de Resp]])</f>
        <v>1</v>
      </c>
      <c r="P73" s="44" t="b">
        <f>EXACT(Tabla2[[#This Row],[Fecha de Recibido]],Tabla2[[#This Row],[Fecha de Resp]])</f>
        <v>1</v>
      </c>
      <c r="Q73" s="45">
        <f>DATE(YEAR(Tabla2[[#This Row],[Fecha de Recibido]]),MONTH(Tabla2[[#This Row],[Fecha de Recibido]]),1)</f>
        <v>45413</v>
      </c>
      <c r="R73" s="45" t="s">
        <v>63</v>
      </c>
    </row>
    <row r="74" spans="1:18" ht="37.5" customHeight="1">
      <c r="A74" s="63">
        <v>45440</v>
      </c>
      <c r="B74" s="42" t="s">
        <v>17</v>
      </c>
      <c r="C74" s="42" t="s">
        <v>199</v>
      </c>
      <c r="D74" s="60">
        <v>45440</v>
      </c>
      <c r="E74" s="60">
        <v>45440</v>
      </c>
      <c r="G74" s="43" t="s">
        <v>200</v>
      </c>
      <c r="H74" s="43"/>
      <c r="I74" s="43"/>
      <c r="J74" s="43" t="s">
        <v>3</v>
      </c>
      <c r="K74" s="43" t="s">
        <v>21</v>
      </c>
      <c r="L74" s="44" t="str">
        <f>IF(Tabla2[[#This Row],[Fecha de Resp]]&gt;Tabla2[[#This Row],[Fecha MAX de Resp]],"Retrasado",IF(Tabla2[[#This Row],[Fecha de Resp]]=0,"Pendiente",IF(Tabla2[[#This Row],[Fecha de Resp]]&lt;=Tabla2[[#This Row],[Fecha MAX de Resp]],"A Tiempo",0)))</f>
        <v>A Tiempo</v>
      </c>
      <c r="M74" s="43"/>
      <c r="N74" s="44"/>
      <c r="O74" s="44" t="b">
        <f>EXACT(Tabla2[[#This Row],[Fecha de Recibido]],Tabla2[[#This Row],[Fecha MAX de Resp]])</f>
        <v>1</v>
      </c>
      <c r="P74" s="44" t="b">
        <f>EXACT(Tabla2[[#This Row],[Fecha de Recibido]],Tabla2[[#This Row],[Fecha de Resp]])</f>
        <v>1</v>
      </c>
      <c r="Q74" s="45">
        <f>DATE(YEAR(Tabla2[[#This Row],[Fecha de Recibido]]),MONTH(Tabla2[[#This Row],[Fecha de Recibido]]),1)</f>
        <v>45413</v>
      </c>
      <c r="R74" s="45" t="s">
        <v>63</v>
      </c>
    </row>
    <row r="75" spans="1:18" ht="37.5" customHeight="1">
      <c r="A75" s="63">
        <v>45440</v>
      </c>
      <c r="B75" s="42" t="s">
        <v>32</v>
      </c>
      <c r="C75" s="42" t="s">
        <v>201</v>
      </c>
      <c r="D75" s="60">
        <v>45440</v>
      </c>
      <c r="E75" s="60">
        <v>45440</v>
      </c>
      <c r="G75" s="43" t="s">
        <v>202</v>
      </c>
      <c r="H75" s="43"/>
      <c r="I75" s="43"/>
      <c r="J75" s="43" t="s">
        <v>3</v>
      </c>
      <c r="K75" s="43" t="s">
        <v>4</v>
      </c>
      <c r="L75" s="44" t="str">
        <f>IF(Tabla2[[#This Row],[Fecha de Resp]]&gt;Tabla2[[#This Row],[Fecha MAX de Resp]],"Retrasado",IF(Tabla2[[#This Row],[Fecha de Resp]]=0,"Pendiente",IF(Tabla2[[#This Row],[Fecha de Resp]]&lt;=Tabla2[[#This Row],[Fecha MAX de Resp]],"A Tiempo",0)))</f>
        <v>A Tiempo</v>
      </c>
      <c r="M75" s="43"/>
      <c r="N75" s="44"/>
      <c r="O75" s="44" t="b">
        <f>EXACT(Tabla2[[#This Row],[Fecha de Recibido]],Tabla2[[#This Row],[Fecha MAX de Resp]])</f>
        <v>1</v>
      </c>
      <c r="P75" s="44" t="b">
        <f>EXACT(Tabla2[[#This Row],[Fecha de Recibido]],Tabla2[[#This Row],[Fecha de Resp]])</f>
        <v>1</v>
      </c>
      <c r="Q75" s="45">
        <f>DATE(YEAR(Tabla2[[#This Row],[Fecha de Recibido]]),MONTH(Tabla2[[#This Row],[Fecha de Recibido]]),1)</f>
        <v>45413</v>
      </c>
      <c r="R75" s="45" t="s">
        <v>63</v>
      </c>
    </row>
    <row r="76" spans="1:18" ht="37.5" customHeight="1">
      <c r="A76" s="63">
        <v>45440</v>
      </c>
      <c r="B76" s="42" t="s">
        <v>17</v>
      </c>
      <c r="C76" s="42" t="s">
        <v>203</v>
      </c>
      <c r="D76" s="60">
        <v>45440</v>
      </c>
      <c r="E76" s="60">
        <v>45440</v>
      </c>
      <c r="G76" s="43" t="s">
        <v>204</v>
      </c>
      <c r="H76" s="43"/>
      <c r="I76" s="43"/>
      <c r="J76" s="43" t="s">
        <v>8</v>
      </c>
      <c r="K76" s="43" t="s">
        <v>21</v>
      </c>
      <c r="L76" s="44" t="str">
        <f>IF(Tabla2[[#This Row],[Fecha de Resp]]&gt;Tabla2[[#This Row],[Fecha MAX de Resp]],"Retrasado",IF(Tabla2[[#This Row],[Fecha de Resp]]=0,"Pendiente",IF(Tabla2[[#This Row],[Fecha de Resp]]&lt;=Tabla2[[#This Row],[Fecha MAX de Resp]],"A Tiempo",0)))</f>
        <v>A Tiempo</v>
      </c>
      <c r="M76" s="43"/>
      <c r="N76" s="44"/>
      <c r="O76" s="44" t="b">
        <f>EXACT(Tabla2[[#This Row],[Fecha de Recibido]],Tabla2[[#This Row],[Fecha MAX de Resp]])</f>
        <v>1</v>
      </c>
      <c r="P76" s="44" t="b">
        <f>EXACT(Tabla2[[#This Row],[Fecha de Recibido]],Tabla2[[#This Row],[Fecha de Resp]])</f>
        <v>1</v>
      </c>
      <c r="Q76" s="45">
        <f>DATE(YEAR(Tabla2[[#This Row],[Fecha de Recibido]]),MONTH(Tabla2[[#This Row],[Fecha de Recibido]]),1)</f>
        <v>45413</v>
      </c>
      <c r="R76" s="45" t="s">
        <v>63</v>
      </c>
    </row>
    <row r="77" spans="1:18" ht="37.5" customHeight="1">
      <c r="A77" s="63">
        <v>45440</v>
      </c>
      <c r="B77" s="42" t="s">
        <v>17</v>
      </c>
      <c r="C77" s="42" t="s">
        <v>205</v>
      </c>
      <c r="D77" s="60">
        <v>45440</v>
      </c>
      <c r="E77" s="60">
        <v>45440</v>
      </c>
      <c r="G77" s="43" t="s">
        <v>206</v>
      </c>
      <c r="H77" s="43"/>
      <c r="I77" s="43"/>
      <c r="J77" s="43" t="s">
        <v>14</v>
      </c>
      <c r="K77" s="43" t="s">
        <v>21</v>
      </c>
      <c r="L77" s="44" t="str">
        <f>IF(Tabla2[[#This Row],[Fecha de Resp]]&gt;Tabla2[[#This Row],[Fecha MAX de Resp]],"Retrasado",IF(Tabla2[[#This Row],[Fecha de Resp]]=0,"Pendiente",IF(Tabla2[[#This Row],[Fecha de Resp]]&lt;=Tabla2[[#This Row],[Fecha MAX de Resp]],"A Tiempo",0)))</f>
        <v>A Tiempo</v>
      </c>
      <c r="M77" s="43"/>
      <c r="N77" s="44"/>
      <c r="O77" s="44" t="b">
        <f>EXACT(Tabla2[[#This Row],[Fecha de Recibido]],Tabla2[[#This Row],[Fecha MAX de Resp]])</f>
        <v>1</v>
      </c>
      <c r="P77" s="44" t="b">
        <f>EXACT(Tabla2[[#This Row],[Fecha de Recibido]],Tabla2[[#This Row],[Fecha de Resp]])</f>
        <v>1</v>
      </c>
      <c r="Q77" s="45">
        <f>DATE(YEAR(Tabla2[[#This Row],[Fecha de Recibido]]),MONTH(Tabla2[[#This Row],[Fecha de Recibido]]),1)</f>
        <v>45413</v>
      </c>
      <c r="R77" s="45" t="s">
        <v>63</v>
      </c>
    </row>
    <row r="78" spans="1:18" ht="37.5" customHeight="1">
      <c r="A78" s="63">
        <v>45440</v>
      </c>
      <c r="B78" s="42" t="s">
        <v>17</v>
      </c>
      <c r="C78" s="42" t="s">
        <v>207</v>
      </c>
      <c r="D78" s="60">
        <v>45440</v>
      </c>
      <c r="E78" s="60">
        <v>45440</v>
      </c>
      <c r="G78" s="43" t="s">
        <v>208</v>
      </c>
      <c r="H78" s="43"/>
      <c r="I78" s="43"/>
      <c r="J78" s="43" t="s">
        <v>3</v>
      </c>
      <c r="K78" s="43" t="s">
        <v>21</v>
      </c>
      <c r="L78" s="44" t="str">
        <f>IF(Tabla2[[#This Row],[Fecha de Resp]]&gt;Tabla2[[#This Row],[Fecha MAX de Resp]],"Retrasado",IF(Tabla2[[#This Row],[Fecha de Resp]]=0,"Pendiente",IF(Tabla2[[#This Row],[Fecha de Resp]]&lt;=Tabla2[[#This Row],[Fecha MAX de Resp]],"A Tiempo",0)))</f>
        <v>A Tiempo</v>
      </c>
      <c r="M78" s="43"/>
      <c r="N78" s="44"/>
      <c r="O78" s="44" t="b">
        <f>EXACT(Tabla2[[#This Row],[Fecha de Recibido]],Tabla2[[#This Row],[Fecha MAX de Resp]])</f>
        <v>1</v>
      </c>
      <c r="P78" s="44" t="b">
        <f>EXACT(Tabla2[[#This Row],[Fecha de Recibido]],Tabla2[[#This Row],[Fecha de Resp]])</f>
        <v>1</v>
      </c>
      <c r="Q78" s="45">
        <f>DATE(YEAR(Tabla2[[#This Row],[Fecha de Recibido]]),MONTH(Tabla2[[#This Row],[Fecha de Recibido]]),1)</f>
        <v>45413</v>
      </c>
      <c r="R78" s="45" t="s">
        <v>63</v>
      </c>
    </row>
    <row r="79" spans="1:18" ht="37.5" customHeight="1">
      <c r="A79" s="63">
        <v>45440</v>
      </c>
      <c r="B79" s="42" t="s">
        <v>17</v>
      </c>
      <c r="C79" s="42" t="s">
        <v>209</v>
      </c>
      <c r="D79" s="60">
        <v>45440</v>
      </c>
      <c r="E79" s="60">
        <v>45440</v>
      </c>
      <c r="G79" s="43" t="s">
        <v>210</v>
      </c>
      <c r="H79" s="43"/>
      <c r="I79" s="43"/>
      <c r="J79" s="43" t="s">
        <v>11</v>
      </c>
      <c r="K79" s="43" t="s">
        <v>21</v>
      </c>
      <c r="L79" s="44" t="str">
        <f>IF(Tabla2[[#This Row],[Fecha de Resp]]&gt;Tabla2[[#This Row],[Fecha MAX de Resp]],"Retrasado",IF(Tabla2[[#This Row],[Fecha de Resp]]=0,"Pendiente",IF(Tabla2[[#This Row],[Fecha de Resp]]&lt;=Tabla2[[#This Row],[Fecha MAX de Resp]],"A Tiempo",0)))</f>
        <v>A Tiempo</v>
      </c>
      <c r="M79" s="43"/>
      <c r="N79" s="44"/>
      <c r="O79" s="44" t="b">
        <f>EXACT(Tabla2[[#This Row],[Fecha de Recibido]],Tabla2[[#This Row],[Fecha MAX de Resp]])</f>
        <v>1</v>
      </c>
      <c r="P79" s="44" t="b">
        <f>EXACT(Tabla2[[#This Row],[Fecha de Recibido]],Tabla2[[#This Row],[Fecha de Resp]])</f>
        <v>1</v>
      </c>
      <c r="Q79" s="45">
        <f>DATE(YEAR(Tabla2[[#This Row],[Fecha de Recibido]]),MONTH(Tabla2[[#This Row],[Fecha de Recibido]]),1)</f>
        <v>45413</v>
      </c>
      <c r="R79" s="45" t="s">
        <v>63</v>
      </c>
    </row>
    <row r="80" spans="1:18" ht="37.5" customHeight="1">
      <c r="A80" s="63">
        <v>45436</v>
      </c>
      <c r="B80" s="42" t="s">
        <v>17</v>
      </c>
      <c r="C80" s="42" t="s">
        <v>211</v>
      </c>
      <c r="D80" s="60">
        <v>45454</v>
      </c>
      <c r="E80" s="60">
        <v>45454</v>
      </c>
      <c r="G80" s="43" t="s">
        <v>212</v>
      </c>
      <c r="H80" s="43"/>
      <c r="I80" s="43"/>
      <c r="J80" s="43" t="s">
        <v>11</v>
      </c>
      <c r="K80" s="43" t="s">
        <v>12</v>
      </c>
      <c r="L80" s="44" t="str">
        <f>IF(Tabla2[[#This Row],[Fecha de Resp]]&gt;Tabla2[[#This Row],[Fecha MAX de Resp]],"Retrasado",IF(Tabla2[[#This Row],[Fecha de Resp]]=0,"Pendiente",IF(Tabla2[[#This Row],[Fecha de Resp]]&lt;=Tabla2[[#This Row],[Fecha MAX de Resp]],"A Tiempo",0)))</f>
        <v>A Tiempo</v>
      </c>
      <c r="M80" s="43"/>
      <c r="N80" s="44"/>
      <c r="O80" s="44" t="b">
        <f>EXACT(Tabla2[[#This Row],[Fecha de Recibido]],Tabla2[[#This Row],[Fecha MAX de Resp]])</f>
        <v>0</v>
      </c>
      <c r="P80" s="44" t="b">
        <f>EXACT(Tabla2[[#This Row],[Fecha de Recibido]],Tabla2[[#This Row],[Fecha de Resp]])</f>
        <v>0</v>
      </c>
      <c r="Q80" s="45">
        <f>DATE(YEAR(Tabla2[[#This Row],[Fecha de Recibido]]),MONTH(Tabla2[[#This Row],[Fecha de Recibido]]),1)</f>
        <v>45413</v>
      </c>
      <c r="R80" s="45" t="s">
        <v>63</v>
      </c>
    </row>
    <row r="81" spans="1:18" ht="37.5" customHeight="1">
      <c r="A81" s="63">
        <v>45436</v>
      </c>
      <c r="B81" s="42" t="s">
        <v>17</v>
      </c>
      <c r="C81" s="42" t="s">
        <v>213</v>
      </c>
      <c r="D81" s="60">
        <v>45439</v>
      </c>
      <c r="E81" s="60">
        <v>45447</v>
      </c>
      <c r="G81" s="43" t="s">
        <v>214</v>
      </c>
      <c r="H81" s="43"/>
      <c r="I81" s="43"/>
      <c r="J81" s="43" t="s">
        <v>3</v>
      </c>
      <c r="K81" s="43" t="s">
        <v>21</v>
      </c>
      <c r="L81" s="44" t="str">
        <f>IF(Tabla2[[#This Row],[Fecha de Resp]]&gt;Tabla2[[#This Row],[Fecha MAX de Resp]],"Retrasado",IF(Tabla2[[#This Row],[Fecha de Resp]]=0,"Pendiente",IF(Tabla2[[#This Row],[Fecha de Resp]]&lt;=Tabla2[[#This Row],[Fecha MAX de Resp]],"A Tiempo",0)))</f>
        <v>Retrasado</v>
      </c>
      <c r="M81" s="43"/>
      <c r="N81" s="44"/>
      <c r="O81" s="44" t="b">
        <f>EXACT(Tabla2[[#This Row],[Fecha de Recibido]],Tabla2[[#This Row],[Fecha MAX de Resp]])</f>
        <v>0</v>
      </c>
      <c r="P81" s="44" t="b">
        <f>EXACT(Tabla2[[#This Row],[Fecha de Recibido]],Tabla2[[#This Row],[Fecha de Resp]])</f>
        <v>0</v>
      </c>
      <c r="Q81" s="45">
        <f>DATE(YEAR(Tabla2[[#This Row],[Fecha de Recibido]]),MONTH(Tabla2[[#This Row],[Fecha de Recibido]]),1)</f>
        <v>45413</v>
      </c>
      <c r="R81" s="45" t="s">
        <v>63</v>
      </c>
    </row>
    <row r="82" spans="1:18" ht="37.5" customHeight="1">
      <c r="A82" s="63">
        <v>45436</v>
      </c>
      <c r="B82" s="42" t="s">
        <v>17</v>
      </c>
      <c r="C82" s="42" t="s">
        <v>215</v>
      </c>
      <c r="D82" s="60">
        <v>45450</v>
      </c>
      <c r="E82" s="60">
        <v>45450</v>
      </c>
      <c r="G82" s="43" t="s">
        <v>216</v>
      </c>
      <c r="H82" s="43"/>
      <c r="I82" s="43"/>
      <c r="J82" s="43" t="s">
        <v>11</v>
      </c>
      <c r="K82" s="43" t="s">
        <v>9</v>
      </c>
      <c r="L82" s="44" t="str">
        <f>IF(Tabla2[[#This Row],[Fecha de Resp]]&gt;Tabla2[[#This Row],[Fecha MAX de Resp]],"Retrasado",IF(Tabla2[[#This Row],[Fecha de Resp]]=0,"Pendiente",IF(Tabla2[[#This Row],[Fecha de Resp]]&lt;=Tabla2[[#This Row],[Fecha MAX de Resp]],"A Tiempo",0)))</f>
        <v>A Tiempo</v>
      </c>
      <c r="M82" s="43"/>
      <c r="N82" s="44"/>
      <c r="O82" s="44" t="b">
        <f>EXACT(Tabla2[[#This Row],[Fecha de Recibido]],Tabla2[[#This Row],[Fecha MAX de Resp]])</f>
        <v>0</v>
      </c>
      <c r="P82" s="44" t="b">
        <f>EXACT(Tabla2[[#This Row],[Fecha de Recibido]],Tabla2[[#This Row],[Fecha de Resp]])</f>
        <v>0</v>
      </c>
      <c r="Q82" s="45">
        <f>DATE(YEAR(Tabla2[[#This Row],[Fecha de Recibido]]),MONTH(Tabla2[[#This Row],[Fecha de Recibido]]),1)</f>
        <v>45413</v>
      </c>
      <c r="R82" s="45" t="s">
        <v>63</v>
      </c>
    </row>
    <row r="83" spans="1:18" ht="37.5" customHeight="1">
      <c r="A83" s="63">
        <v>45429</v>
      </c>
      <c r="B83" s="42" t="s">
        <v>30</v>
      </c>
      <c r="C83" s="42" t="s">
        <v>217</v>
      </c>
      <c r="D83" s="60">
        <v>45444</v>
      </c>
      <c r="E83" s="60">
        <v>45444</v>
      </c>
      <c r="G83" s="43"/>
      <c r="H83" s="43"/>
      <c r="I83" s="43"/>
      <c r="J83" s="43" t="s">
        <v>3</v>
      </c>
      <c r="K83" s="43" t="s">
        <v>15</v>
      </c>
      <c r="L83" s="44" t="str">
        <f>IF(Tabla2[[#This Row],[Fecha de Resp]]&gt;Tabla2[[#This Row],[Fecha MAX de Resp]],"Retrasado",IF(Tabla2[[#This Row],[Fecha de Resp]]=0,"Pendiente",IF(Tabla2[[#This Row],[Fecha de Resp]]&lt;=Tabla2[[#This Row],[Fecha MAX de Resp]],"A Tiempo",0)))</f>
        <v>A Tiempo</v>
      </c>
      <c r="M83" s="43"/>
      <c r="N83" s="44"/>
      <c r="O83" s="44" t="b">
        <f>EXACT(Tabla2[[#This Row],[Fecha de Recibido]],Tabla2[[#This Row],[Fecha MAX de Resp]])</f>
        <v>0</v>
      </c>
      <c r="P83" s="44" t="b">
        <f>EXACT(Tabla2[[#This Row],[Fecha de Recibido]],Tabla2[[#This Row],[Fecha de Resp]])</f>
        <v>0</v>
      </c>
      <c r="Q83" s="45">
        <f>DATE(YEAR(Tabla2[[#This Row],[Fecha de Recibido]]),MONTH(Tabla2[[#This Row],[Fecha de Recibido]]),1)</f>
        <v>45413</v>
      </c>
      <c r="R83" s="45" t="s">
        <v>63</v>
      </c>
    </row>
    <row r="84" spans="1:18" ht="37.5" customHeight="1">
      <c r="A84" s="63">
        <v>45429</v>
      </c>
      <c r="B84" s="42" t="s">
        <v>30</v>
      </c>
      <c r="C84" s="42" t="s">
        <v>218</v>
      </c>
      <c r="D84" s="60">
        <v>45444</v>
      </c>
      <c r="E84" s="60">
        <v>45444</v>
      </c>
      <c r="G84" s="43"/>
      <c r="H84" s="43"/>
      <c r="I84" s="43"/>
      <c r="J84" s="43" t="s">
        <v>3</v>
      </c>
      <c r="K84" s="43" t="s">
        <v>15</v>
      </c>
      <c r="L84" s="44" t="str">
        <f>IF(Tabla2[[#This Row],[Fecha de Resp]]&gt;Tabla2[[#This Row],[Fecha MAX de Resp]],"Retrasado",IF(Tabla2[[#This Row],[Fecha de Resp]]=0,"Pendiente",IF(Tabla2[[#This Row],[Fecha de Resp]]&lt;=Tabla2[[#This Row],[Fecha MAX de Resp]],"A Tiempo",0)))</f>
        <v>A Tiempo</v>
      </c>
      <c r="M84" s="43"/>
      <c r="N84" s="44"/>
      <c r="O84" s="44" t="b">
        <f>EXACT(Tabla2[[#This Row],[Fecha de Recibido]],Tabla2[[#This Row],[Fecha MAX de Resp]])</f>
        <v>0</v>
      </c>
      <c r="P84" s="44" t="b">
        <f>EXACT(Tabla2[[#This Row],[Fecha de Recibido]],Tabla2[[#This Row],[Fecha de Resp]])</f>
        <v>0</v>
      </c>
      <c r="Q84" s="45">
        <f>DATE(YEAR(Tabla2[[#This Row],[Fecha de Recibido]]),MONTH(Tabla2[[#This Row],[Fecha de Recibido]]),1)</f>
        <v>45413</v>
      </c>
      <c r="R84" s="45" t="s">
        <v>63</v>
      </c>
    </row>
    <row r="85" spans="1:18" ht="37.5" customHeight="1">
      <c r="A85" s="63">
        <v>45420</v>
      </c>
      <c r="B85" s="42" t="s">
        <v>17</v>
      </c>
      <c r="C85" s="42" t="s">
        <v>219</v>
      </c>
      <c r="D85" s="60">
        <v>45420</v>
      </c>
      <c r="E85" s="60">
        <v>45420</v>
      </c>
      <c r="G85" s="43" t="s">
        <v>220</v>
      </c>
      <c r="H85" s="43"/>
      <c r="I85" s="43"/>
      <c r="J85" s="43" t="s">
        <v>3</v>
      </c>
      <c r="K85" s="43" t="s">
        <v>9</v>
      </c>
      <c r="L85" s="44" t="str">
        <f>IF(Tabla2[[#This Row],[Fecha de Resp]]&gt;Tabla2[[#This Row],[Fecha MAX de Resp]],"Retrasado",IF(Tabla2[[#This Row],[Fecha de Resp]]=0,"Pendiente",IF(Tabla2[[#This Row],[Fecha de Resp]]&lt;=Tabla2[[#This Row],[Fecha MAX de Resp]],"A Tiempo",0)))</f>
        <v>A Tiempo</v>
      </c>
      <c r="M85" s="43"/>
      <c r="N85" s="44"/>
      <c r="O85" s="44" t="b">
        <f>EXACT(Tabla2[[#This Row],[Fecha de Recibido]],Tabla2[[#This Row],[Fecha MAX de Resp]])</f>
        <v>1</v>
      </c>
      <c r="P85" s="44" t="b">
        <f>EXACT(Tabla2[[#This Row],[Fecha de Recibido]],Tabla2[[#This Row],[Fecha de Resp]])</f>
        <v>1</v>
      </c>
      <c r="Q85" s="45">
        <f>DATE(YEAR(Tabla2[[#This Row],[Fecha de Recibido]]),MONTH(Tabla2[[#This Row],[Fecha de Recibido]]),1)</f>
        <v>45413</v>
      </c>
      <c r="R85" s="45" t="s">
        <v>63</v>
      </c>
    </row>
    <row r="86" spans="1:18" ht="37.5" customHeight="1">
      <c r="A86" s="63">
        <v>45418</v>
      </c>
      <c r="B86" s="42" t="s">
        <v>17</v>
      </c>
      <c r="C86" s="42" t="s">
        <v>221</v>
      </c>
      <c r="D86" s="60">
        <v>45429</v>
      </c>
      <c r="E86" s="60">
        <v>45429</v>
      </c>
      <c r="G86" s="43" t="s">
        <v>222</v>
      </c>
      <c r="H86" s="43"/>
      <c r="I86" s="43"/>
      <c r="J86" s="43" t="s">
        <v>3</v>
      </c>
      <c r="K86" s="43" t="s">
        <v>4</v>
      </c>
      <c r="L86" s="44" t="str">
        <f>IF(Tabla2[[#This Row],[Fecha de Resp]]&gt;Tabla2[[#This Row],[Fecha MAX de Resp]],"Retrasado",IF(Tabla2[[#This Row],[Fecha de Resp]]=0,"Pendiente",IF(Tabla2[[#This Row],[Fecha de Resp]]&lt;=Tabla2[[#This Row],[Fecha MAX de Resp]],"A Tiempo",0)))</f>
        <v>A Tiempo</v>
      </c>
      <c r="M86" s="43"/>
      <c r="N86" s="44"/>
      <c r="O86" s="44" t="b">
        <f>EXACT(Tabla2[[#This Row],[Fecha de Recibido]],Tabla2[[#This Row],[Fecha MAX de Resp]])</f>
        <v>0</v>
      </c>
      <c r="P86" s="44" t="b">
        <f>EXACT(Tabla2[[#This Row],[Fecha de Recibido]],Tabla2[[#This Row],[Fecha de Resp]])</f>
        <v>0</v>
      </c>
      <c r="Q86" s="45">
        <f>DATE(YEAR(Tabla2[[#This Row],[Fecha de Recibido]]),MONTH(Tabla2[[#This Row],[Fecha de Recibido]]),1)</f>
        <v>45413</v>
      </c>
      <c r="R86" s="45" t="s">
        <v>63</v>
      </c>
    </row>
    <row r="87" spans="1:18" ht="37.5" customHeight="1">
      <c r="A87" s="63">
        <v>45418</v>
      </c>
      <c r="B87" s="42" t="s">
        <v>17</v>
      </c>
      <c r="C87" s="42" t="s">
        <v>223</v>
      </c>
      <c r="D87" s="60">
        <v>45418</v>
      </c>
      <c r="E87" s="60">
        <v>45418</v>
      </c>
      <c r="G87" s="43" t="s">
        <v>224</v>
      </c>
      <c r="H87" s="43"/>
      <c r="I87" s="43"/>
      <c r="J87" s="43" t="s">
        <v>3</v>
      </c>
      <c r="K87" s="43" t="s">
        <v>9</v>
      </c>
      <c r="L87" s="44" t="str">
        <f>IF(Tabla2[[#This Row],[Fecha de Resp]]&gt;Tabla2[[#This Row],[Fecha MAX de Resp]],"Retrasado",IF(Tabla2[[#This Row],[Fecha de Resp]]=0,"Pendiente",IF(Tabla2[[#This Row],[Fecha de Resp]]&lt;=Tabla2[[#This Row],[Fecha MAX de Resp]],"A Tiempo",0)))</f>
        <v>A Tiempo</v>
      </c>
      <c r="M87" s="43"/>
      <c r="N87" s="44"/>
      <c r="O87" s="48" t="b">
        <f>EXACT(Tabla2[[#This Row],[Fecha de Recibido]],Tabla2[[#This Row],[Fecha MAX de Resp]])</f>
        <v>1</v>
      </c>
      <c r="P87" s="48" t="b">
        <f>EXACT(Tabla2[[#This Row],[Fecha de Recibido]],Tabla2[[#This Row],[Fecha de Resp]])</f>
        <v>1</v>
      </c>
      <c r="Q87" s="45">
        <f>DATE(YEAR(Tabla2[[#This Row],[Fecha de Recibido]]),MONTH(Tabla2[[#This Row],[Fecha de Recibido]]),1)</f>
        <v>45413</v>
      </c>
      <c r="R87" s="45" t="s">
        <v>63</v>
      </c>
    </row>
    <row r="88" spans="1:18" ht="37.5" customHeight="1">
      <c r="A88" s="63">
        <v>45418</v>
      </c>
      <c r="B88" s="42" t="s">
        <v>17</v>
      </c>
      <c r="C88" s="42" t="s">
        <v>225</v>
      </c>
      <c r="D88" s="60">
        <v>45418</v>
      </c>
      <c r="E88" s="60">
        <v>45418</v>
      </c>
      <c r="G88" s="43" t="s">
        <v>226</v>
      </c>
      <c r="H88" s="43"/>
      <c r="I88" s="43"/>
      <c r="J88" s="43" t="s">
        <v>3</v>
      </c>
      <c r="K88" s="43" t="s">
        <v>9</v>
      </c>
      <c r="L88" s="44" t="str">
        <f>IF(Tabla2[[#This Row],[Fecha de Resp]]&gt;Tabla2[[#This Row],[Fecha MAX de Resp]],"Retrasado",IF(Tabla2[[#This Row],[Fecha de Resp]]=0,"Pendiente",IF(Tabla2[[#This Row],[Fecha de Resp]]&lt;=Tabla2[[#This Row],[Fecha MAX de Resp]],"A Tiempo",0)))</f>
        <v>A Tiempo</v>
      </c>
      <c r="M88" s="43"/>
      <c r="N88" s="44"/>
      <c r="O88" s="48" t="b">
        <f>EXACT(Tabla2[[#This Row],[Fecha de Recibido]],Tabla2[[#This Row],[Fecha MAX de Resp]])</f>
        <v>1</v>
      </c>
      <c r="P88" s="48" t="b">
        <f>EXACT(Tabla2[[#This Row],[Fecha de Recibido]],Tabla2[[#This Row],[Fecha de Resp]])</f>
        <v>1</v>
      </c>
      <c r="Q88" s="45">
        <f>DATE(YEAR(Tabla2[[#This Row],[Fecha de Recibido]]),MONTH(Tabla2[[#This Row],[Fecha de Recibido]]),1)</f>
        <v>45413</v>
      </c>
      <c r="R88" s="45" t="s">
        <v>63</v>
      </c>
    </row>
    <row r="89" spans="1:18" ht="37.5" customHeight="1">
      <c r="A89" s="63">
        <v>45418</v>
      </c>
      <c r="B89" s="42" t="s">
        <v>17</v>
      </c>
      <c r="C89" s="42" t="s">
        <v>227</v>
      </c>
      <c r="D89" s="60">
        <v>45418</v>
      </c>
      <c r="E89" s="60">
        <v>45418</v>
      </c>
      <c r="G89" s="43" t="s">
        <v>228</v>
      </c>
      <c r="H89" s="43"/>
      <c r="I89" s="43"/>
      <c r="J89" s="43" t="s">
        <v>3</v>
      </c>
      <c r="K89" s="43" t="s">
        <v>9</v>
      </c>
      <c r="L89" s="44" t="str">
        <f>IF(Tabla2[[#This Row],[Fecha de Resp]]&gt;Tabla2[[#This Row],[Fecha MAX de Resp]],"Retrasado",IF(Tabla2[[#This Row],[Fecha de Resp]]=0,"Pendiente",IF(Tabla2[[#This Row],[Fecha de Resp]]&lt;=Tabla2[[#This Row],[Fecha MAX de Resp]],"A Tiempo",0)))</f>
        <v>A Tiempo</v>
      </c>
      <c r="M89" s="43"/>
      <c r="N89" s="44"/>
      <c r="O89" s="48" t="b">
        <f>EXACT(Tabla2[[#This Row],[Fecha de Recibido]],Tabla2[[#This Row],[Fecha MAX de Resp]])</f>
        <v>1</v>
      </c>
      <c r="P89" s="48" t="b">
        <f>EXACT(Tabla2[[#This Row],[Fecha de Recibido]],Tabla2[[#This Row],[Fecha de Resp]])</f>
        <v>1</v>
      </c>
      <c r="Q89" s="45">
        <f>DATE(YEAR(Tabla2[[#This Row],[Fecha de Recibido]]),MONTH(Tabla2[[#This Row],[Fecha de Recibido]]),1)</f>
        <v>45413</v>
      </c>
      <c r="R89" s="45" t="s">
        <v>63</v>
      </c>
    </row>
    <row r="90" spans="1:18" ht="37.5" customHeight="1">
      <c r="A90" s="63">
        <v>45415</v>
      </c>
      <c r="B90" s="42" t="s">
        <v>30</v>
      </c>
      <c r="C90" s="42" t="s">
        <v>229</v>
      </c>
      <c r="D90" s="60">
        <v>45430</v>
      </c>
      <c r="E90" s="60">
        <v>45429</v>
      </c>
      <c r="G90" s="43" t="s">
        <v>230</v>
      </c>
      <c r="H90" s="43"/>
      <c r="I90" s="43"/>
      <c r="J90" s="43" t="s">
        <v>3</v>
      </c>
      <c r="K90" s="43" t="s">
        <v>15</v>
      </c>
      <c r="L90" s="44" t="str">
        <f>IF(Tabla2[[#This Row],[Fecha de Resp]]&gt;Tabla2[[#This Row],[Fecha MAX de Resp]],"Retrasado",IF(Tabla2[[#This Row],[Fecha de Resp]]=0,"Pendiente",IF(Tabla2[[#This Row],[Fecha de Resp]]&lt;=Tabla2[[#This Row],[Fecha MAX de Resp]],"A Tiempo",0)))</f>
        <v>A Tiempo</v>
      </c>
      <c r="M90" s="43"/>
      <c r="N90" s="44"/>
      <c r="O90" s="44" t="b">
        <f>EXACT(Tabla2[[#This Row],[Fecha de Recibido]],Tabla2[[#This Row],[Fecha MAX de Resp]])</f>
        <v>0</v>
      </c>
      <c r="P90" s="44" t="b">
        <f>EXACT(Tabla2[[#This Row],[Fecha de Recibido]],Tabla2[[#This Row],[Fecha de Resp]])</f>
        <v>0</v>
      </c>
      <c r="Q90" s="45">
        <f>DATE(YEAR(Tabla2[[#This Row],[Fecha de Recibido]]),MONTH(Tabla2[[#This Row],[Fecha de Recibido]]),1)</f>
        <v>45413</v>
      </c>
      <c r="R90" s="45" t="s">
        <v>63</v>
      </c>
    </row>
    <row r="91" spans="1:18" ht="71.25" customHeight="1">
      <c r="A91" s="63">
        <v>45415</v>
      </c>
      <c r="B91" s="42" t="s">
        <v>24</v>
      </c>
      <c r="C91" s="42" t="s">
        <v>231</v>
      </c>
      <c r="D91" s="60">
        <v>45415</v>
      </c>
      <c r="E91" s="60">
        <v>45415</v>
      </c>
      <c r="G91" s="43" t="s">
        <v>232</v>
      </c>
      <c r="H91" s="43"/>
      <c r="I91" s="43"/>
      <c r="J91" s="43" t="s">
        <v>3</v>
      </c>
      <c r="K91" s="43" t="s">
        <v>31</v>
      </c>
      <c r="L91" s="44" t="str">
        <f>IF(Tabla2[[#This Row],[Fecha de Resp]]&gt;Tabla2[[#This Row],[Fecha MAX de Resp]],"Retrasado",IF(Tabla2[[#This Row],[Fecha de Resp]]=0,"Pendiente",IF(Tabla2[[#This Row],[Fecha de Resp]]&lt;=Tabla2[[#This Row],[Fecha MAX de Resp]],"A Tiempo",0)))</f>
        <v>A Tiempo</v>
      </c>
      <c r="M91" s="43"/>
      <c r="N91" s="44"/>
      <c r="O91" s="48" t="b">
        <f>EXACT(Tabla2[[#This Row],[Fecha de Recibido]],Tabla2[[#This Row],[Fecha MAX de Resp]])</f>
        <v>1</v>
      </c>
      <c r="P91" s="48" t="b">
        <f>EXACT(Tabla2[[#This Row],[Fecha de Recibido]],Tabla2[[#This Row],[Fecha de Resp]])</f>
        <v>1</v>
      </c>
      <c r="Q91" s="45">
        <f>DATE(YEAR(Tabla2[[#This Row],[Fecha de Recibido]]),MONTH(Tabla2[[#This Row],[Fecha de Recibido]]),1)</f>
        <v>45413</v>
      </c>
      <c r="R91" s="45" t="s">
        <v>63</v>
      </c>
    </row>
    <row r="92" spans="1:18" ht="37.5" customHeight="1">
      <c r="A92" s="63">
        <v>45413</v>
      </c>
      <c r="B92" s="42" t="s">
        <v>24</v>
      </c>
      <c r="C92" s="42" t="s">
        <v>233</v>
      </c>
      <c r="D92" s="60">
        <v>45428</v>
      </c>
      <c r="E92" s="60">
        <v>45428</v>
      </c>
      <c r="G92" s="43" t="s">
        <v>234</v>
      </c>
      <c r="H92" s="43"/>
      <c r="I92" s="43"/>
      <c r="J92" s="43" t="s">
        <v>3</v>
      </c>
      <c r="K92" s="43" t="s">
        <v>4</v>
      </c>
      <c r="L92" s="44" t="str">
        <f>IF(Tabla2[[#This Row],[Fecha de Resp]]&gt;Tabla2[[#This Row],[Fecha MAX de Resp]],"Retrasado",IF(Tabla2[[#This Row],[Fecha de Resp]]=0,"Pendiente",IF(Tabla2[[#This Row],[Fecha de Resp]]&lt;=Tabla2[[#This Row],[Fecha MAX de Resp]],"A Tiempo",0)))</f>
        <v>A Tiempo</v>
      </c>
      <c r="M92" s="43"/>
      <c r="N92" s="44"/>
      <c r="O92" s="48" t="b">
        <f>EXACT(Tabla2[[#This Row],[Fecha de Recibido]],Tabla2[[#This Row],[Fecha MAX de Resp]])</f>
        <v>0</v>
      </c>
      <c r="P92" s="48" t="b">
        <f>EXACT(Tabla2[[#This Row],[Fecha de Recibido]],Tabla2[[#This Row],[Fecha de Resp]])</f>
        <v>0</v>
      </c>
      <c r="Q92" s="45">
        <f>DATE(YEAR(Tabla2[[#This Row],[Fecha de Recibido]]),MONTH(Tabla2[[#This Row],[Fecha de Recibido]]),1)</f>
        <v>45413</v>
      </c>
      <c r="R92" s="45" t="s">
        <v>63</v>
      </c>
    </row>
    <row r="93" spans="1:18" ht="37.5" customHeight="1">
      <c r="A93" s="63">
        <v>45411</v>
      </c>
      <c r="B93" s="42" t="s">
        <v>17</v>
      </c>
      <c r="C93" s="42" t="s">
        <v>235</v>
      </c>
      <c r="D93" s="60">
        <v>45419</v>
      </c>
      <c r="E93" s="60">
        <v>45419</v>
      </c>
      <c r="G93" s="43" t="s">
        <v>236</v>
      </c>
      <c r="H93" s="43"/>
      <c r="I93" s="43"/>
      <c r="J93" s="43" t="s">
        <v>3</v>
      </c>
      <c r="K93" s="43" t="s">
        <v>4</v>
      </c>
      <c r="L93" s="44" t="str">
        <f>IF(Tabla2[[#This Row],[Fecha de Resp]]&gt;Tabla2[[#This Row],[Fecha MAX de Resp]],"Retrasado",IF(Tabla2[[#This Row],[Fecha de Resp]]=0,"Pendiente",IF(Tabla2[[#This Row],[Fecha de Resp]]&lt;=Tabla2[[#This Row],[Fecha MAX de Resp]],"A Tiempo",0)))</f>
        <v>A Tiempo</v>
      </c>
      <c r="M93" s="43"/>
      <c r="N93" s="44"/>
      <c r="O93" s="48" t="b">
        <f>EXACT(Tabla2[[#This Row],[Fecha de Recibido]],Tabla2[[#This Row],[Fecha MAX de Resp]])</f>
        <v>0</v>
      </c>
      <c r="P93" s="48" t="b">
        <f>EXACT(Tabla2[[#This Row],[Fecha de Recibido]],Tabla2[[#This Row],[Fecha de Resp]])</f>
        <v>0</v>
      </c>
      <c r="Q93" s="45">
        <f>DATE(YEAR(Tabla2[[#This Row],[Fecha de Recibido]]),MONTH(Tabla2[[#This Row],[Fecha de Recibido]]),1)</f>
        <v>45383</v>
      </c>
      <c r="R93" s="45" t="s">
        <v>63</v>
      </c>
    </row>
    <row r="94" spans="1:18" ht="37.5" customHeight="1">
      <c r="A94" s="63">
        <v>45408</v>
      </c>
      <c r="B94" s="42" t="s">
        <v>30</v>
      </c>
      <c r="C94" s="42" t="s">
        <v>237</v>
      </c>
      <c r="D94" s="60">
        <v>45413</v>
      </c>
      <c r="E94" s="60">
        <v>45412</v>
      </c>
      <c r="G94" s="43" t="s">
        <v>238</v>
      </c>
      <c r="H94" s="43"/>
      <c r="I94" s="43"/>
      <c r="J94" s="43" t="s">
        <v>3</v>
      </c>
      <c r="K94" s="43" t="s">
        <v>15</v>
      </c>
      <c r="L94" s="44" t="str">
        <f>IF(Tabla2[[#This Row],[Fecha de Resp]]&gt;Tabla2[[#This Row],[Fecha MAX de Resp]],"Retrasado",IF(Tabla2[[#This Row],[Fecha de Resp]]=0,"Pendiente",IF(Tabla2[[#This Row],[Fecha de Resp]]&lt;=Tabla2[[#This Row],[Fecha MAX de Resp]],"A Tiempo",0)))</f>
        <v>A Tiempo</v>
      </c>
      <c r="M94" s="43"/>
      <c r="N94" s="44"/>
      <c r="O94" s="44" t="b">
        <f>EXACT(Tabla2[[#This Row],[Fecha de Recibido]],Tabla2[[#This Row],[Fecha MAX de Resp]])</f>
        <v>0</v>
      </c>
      <c r="P94" s="44" t="b">
        <f>EXACT(Tabla2[[#This Row],[Fecha de Recibido]],Tabla2[[#This Row],[Fecha de Resp]])</f>
        <v>0</v>
      </c>
      <c r="Q94" s="45">
        <f>DATE(YEAR(Tabla2[[#This Row],[Fecha de Recibido]]),MONTH(Tabla2[[#This Row],[Fecha de Recibido]]),1)</f>
        <v>45383</v>
      </c>
      <c r="R94" s="45" t="s">
        <v>63</v>
      </c>
    </row>
    <row r="95" spans="1:18" ht="37.5" customHeight="1">
      <c r="A95" s="63">
        <v>45401</v>
      </c>
      <c r="B95" s="42" t="s">
        <v>30</v>
      </c>
      <c r="C95" s="42" t="s">
        <v>239</v>
      </c>
      <c r="D95" s="60">
        <v>45404</v>
      </c>
      <c r="E95" s="60">
        <v>45404</v>
      </c>
      <c r="G95" s="43" t="s">
        <v>240</v>
      </c>
      <c r="H95" s="43"/>
      <c r="I95" s="43"/>
      <c r="J95" s="43" t="s">
        <v>3</v>
      </c>
      <c r="K95" s="43" t="s">
        <v>15</v>
      </c>
      <c r="L95" s="44" t="str">
        <f>IF(Tabla2[[#This Row],[Fecha de Resp]]&gt;Tabla2[[#This Row],[Fecha MAX de Resp]],"Retrasado",IF(Tabla2[[#This Row],[Fecha de Resp]]=0,"Pendiente",IF(Tabla2[[#This Row],[Fecha de Resp]]&lt;=Tabla2[[#This Row],[Fecha MAX de Resp]],"A Tiempo",0)))</f>
        <v>A Tiempo</v>
      </c>
      <c r="M95" s="43"/>
      <c r="N95" s="44"/>
      <c r="O95" s="44" t="b">
        <f>EXACT(Tabla2[[#This Row],[Fecha de Recibido]],Tabla2[[#This Row],[Fecha MAX de Resp]])</f>
        <v>0</v>
      </c>
      <c r="P95" s="44" t="b">
        <f>EXACT(Tabla2[[#This Row],[Fecha de Recibido]],Tabla2[[#This Row],[Fecha de Resp]])</f>
        <v>0</v>
      </c>
      <c r="Q95" s="45">
        <f>DATE(YEAR(Tabla2[[#This Row],[Fecha de Recibido]]),MONTH(Tabla2[[#This Row],[Fecha de Recibido]]),1)</f>
        <v>45383</v>
      </c>
      <c r="R95" s="45" t="s">
        <v>63</v>
      </c>
    </row>
    <row r="96" spans="1:18" ht="37.5" customHeight="1">
      <c r="A96" s="63">
        <v>45401</v>
      </c>
      <c r="B96" s="42" t="s">
        <v>32</v>
      </c>
      <c r="C96" s="42" t="s">
        <v>241</v>
      </c>
      <c r="D96" s="60">
        <v>45406</v>
      </c>
      <c r="E96" s="60">
        <v>45405</v>
      </c>
      <c r="G96" s="43" t="s">
        <v>242</v>
      </c>
      <c r="H96" s="43"/>
      <c r="I96" s="43"/>
      <c r="J96" s="43" t="s">
        <v>11</v>
      </c>
      <c r="K96" s="43" t="s">
        <v>4</v>
      </c>
      <c r="L96" s="44" t="str">
        <f>IF(Tabla2[[#This Row],[Fecha de Resp]]&gt;Tabla2[[#This Row],[Fecha MAX de Resp]],"Retrasado",IF(Tabla2[[#This Row],[Fecha de Resp]]=0,"Pendiente",IF(Tabla2[[#This Row],[Fecha de Resp]]&lt;=Tabla2[[#This Row],[Fecha MAX de Resp]],"A Tiempo",0)))</f>
        <v>A Tiempo</v>
      </c>
      <c r="M96" s="43"/>
      <c r="N96" s="44"/>
      <c r="O96" s="48" t="b">
        <f>EXACT(Tabla2[[#This Row],[Fecha de Recibido]],Tabla2[[#This Row],[Fecha MAX de Resp]])</f>
        <v>0</v>
      </c>
      <c r="P96" s="48" t="b">
        <f>EXACT(Tabla2[[#This Row],[Fecha de Recibido]],Tabla2[[#This Row],[Fecha de Resp]])</f>
        <v>0</v>
      </c>
      <c r="Q96" s="45">
        <f>DATE(YEAR(Tabla2[[#This Row],[Fecha de Recibido]]),MONTH(Tabla2[[#This Row],[Fecha de Recibido]]),1)</f>
        <v>45383</v>
      </c>
      <c r="R96" s="45" t="s">
        <v>63</v>
      </c>
    </row>
    <row r="97" spans="1:18" ht="37.5" customHeight="1">
      <c r="A97" s="63">
        <v>45401</v>
      </c>
      <c r="B97" s="42" t="s">
        <v>32</v>
      </c>
      <c r="C97" s="42" t="s">
        <v>243</v>
      </c>
      <c r="D97" s="60">
        <v>45406</v>
      </c>
      <c r="E97" s="60">
        <v>45405</v>
      </c>
      <c r="G97" s="43" t="s">
        <v>244</v>
      </c>
      <c r="H97" s="43"/>
      <c r="I97" s="43"/>
      <c r="J97" s="43" t="s">
        <v>8</v>
      </c>
      <c r="K97" s="43" t="s">
        <v>4</v>
      </c>
      <c r="L97" s="44" t="str">
        <f>IF(Tabla2[[#This Row],[Fecha de Resp]]&gt;Tabla2[[#This Row],[Fecha MAX de Resp]],"Retrasado",IF(Tabla2[[#This Row],[Fecha de Resp]]=0,"Pendiente",IF(Tabla2[[#This Row],[Fecha de Resp]]&lt;=Tabla2[[#This Row],[Fecha MAX de Resp]],"A Tiempo",0)))</f>
        <v>A Tiempo</v>
      </c>
      <c r="M97" s="43"/>
      <c r="N97" s="44"/>
      <c r="O97" s="48" t="b">
        <f>EXACT(Tabla2[[#This Row],[Fecha de Recibido]],Tabla2[[#This Row],[Fecha MAX de Resp]])</f>
        <v>0</v>
      </c>
      <c r="P97" s="48" t="b">
        <f>EXACT(Tabla2[[#This Row],[Fecha de Recibido]],Tabla2[[#This Row],[Fecha de Resp]])</f>
        <v>0</v>
      </c>
      <c r="Q97" s="45">
        <f>DATE(YEAR(Tabla2[[#This Row],[Fecha de Recibido]]),MONTH(Tabla2[[#This Row],[Fecha de Recibido]]),1)</f>
        <v>45383</v>
      </c>
      <c r="R97" s="45" t="s">
        <v>63</v>
      </c>
    </row>
    <row r="98" spans="1:18" ht="37.5" customHeight="1">
      <c r="A98" s="63">
        <v>45400</v>
      </c>
      <c r="B98" s="42" t="s">
        <v>32</v>
      </c>
      <c r="C98" s="42" t="s">
        <v>235</v>
      </c>
      <c r="D98" s="60">
        <v>45406</v>
      </c>
      <c r="E98" s="60">
        <v>45405</v>
      </c>
      <c r="G98" s="43" t="s">
        <v>245</v>
      </c>
      <c r="H98" s="43"/>
      <c r="I98" s="43"/>
      <c r="J98" s="43" t="s">
        <v>11</v>
      </c>
      <c r="K98" s="43" t="s">
        <v>9</v>
      </c>
      <c r="L98" s="44" t="str">
        <f>IF(Tabla2[[#This Row],[Fecha de Resp]]&gt;Tabla2[[#This Row],[Fecha MAX de Resp]],"Retrasado",IF(Tabla2[[#This Row],[Fecha de Resp]]=0,"Pendiente",IF(Tabla2[[#This Row],[Fecha de Resp]]&lt;=Tabla2[[#This Row],[Fecha MAX de Resp]],"A Tiempo",0)))</f>
        <v>A Tiempo</v>
      </c>
      <c r="M98" s="43"/>
      <c r="N98" s="44"/>
      <c r="O98" s="48" t="b">
        <f>EXACT(Tabla2[[#This Row],[Fecha de Recibido]],Tabla2[[#This Row],[Fecha MAX de Resp]])</f>
        <v>0</v>
      </c>
      <c r="P98" s="48" t="b">
        <f>EXACT(Tabla2[[#This Row],[Fecha de Recibido]],Tabla2[[#This Row],[Fecha de Resp]])</f>
        <v>0</v>
      </c>
      <c r="Q98" s="45">
        <f>DATE(YEAR(Tabla2[[#This Row],[Fecha de Recibido]]),MONTH(Tabla2[[#This Row],[Fecha de Recibido]]),1)</f>
        <v>45383</v>
      </c>
      <c r="R98" s="45" t="s">
        <v>63</v>
      </c>
    </row>
    <row r="99" spans="1:18" ht="37.5" customHeight="1">
      <c r="A99" s="63">
        <v>45398</v>
      </c>
      <c r="B99" s="42" t="s">
        <v>32</v>
      </c>
      <c r="C99" s="42" t="s">
        <v>246</v>
      </c>
      <c r="D99" s="60">
        <v>45399</v>
      </c>
      <c r="E99" s="60">
        <v>45399</v>
      </c>
      <c r="G99" s="43" t="s">
        <v>247</v>
      </c>
      <c r="H99" s="43"/>
      <c r="I99" s="43"/>
      <c r="J99" s="43" t="s">
        <v>3</v>
      </c>
      <c r="K99" s="43" t="s">
        <v>15</v>
      </c>
      <c r="L99" s="44" t="str">
        <f>IF(Tabla2[[#This Row],[Fecha de Resp]]&gt;Tabla2[[#This Row],[Fecha MAX de Resp]],"Retrasado",IF(Tabla2[[#This Row],[Fecha de Resp]]=0,"Pendiente",IF(Tabla2[[#This Row],[Fecha de Resp]]&lt;=Tabla2[[#This Row],[Fecha MAX de Resp]],"A Tiempo",0)))</f>
        <v>A Tiempo</v>
      </c>
      <c r="M99" s="43"/>
      <c r="N99" s="44"/>
      <c r="O99" s="44" t="b">
        <f>EXACT(Tabla2[[#This Row],[Fecha de Recibido]],Tabla2[[#This Row],[Fecha MAX de Resp]])</f>
        <v>0</v>
      </c>
      <c r="P99" s="44" t="b">
        <f>EXACT(Tabla2[[#This Row],[Fecha de Recibido]],Tabla2[[#This Row],[Fecha de Resp]])</f>
        <v>0</v>
      </c>
      <c r="Q99" s="45">
        <f>DATE(YEAR(Tabla2[[#This Row],[Fecha de Recibido]]),MONTH(Tabla2[[#This Row],[Fecha de Recibido]]),1)</f>
        <v>45383</v>
      </c>
      <c r="R99" s="45" t="s">
        <v>63</v>
      </c>
    </row>
    <row r="100" spans="1:18" ht="37.5" customHeight="1">
      <c r="A100" s="63">
        <v>45398</v>
      </c>
      <c r="B100" s="42" t="s">
        <v>36</v>
      </c>
      <c r="C100" s="42" t="s">
        <v>248</v>
      </c>
      <c r="D100" s="60">
        <v>45399</v>
      </c>
      <c r="E100" s="60">
        <v>45399</v>
      </c>
      <c r="G100" s="43" t="s">
        <v>249</v>
      </c>
      <c r="H100" s="43"/>
      <c r="I100" s="43"/>
      <c r="J100" s="43" t="s">
        <v>3</v>
      </c>
      <c r="K100" s="43" t="s">
        <v>4</v>
      </c>
      <c r="L100" s="44" t="str">
        <f>IF(Tabla2[[#This Row],[Fecha de Resp]]&gt;Tabla2[[#This Row],[Fecha MAX de Resp]],"Retrasado",IF(Tabla2[[#This Row],[Fecha de Resp]]=0,"Pendiente",IF(Tabla2[[#This Row],[Fecha de Resp]]&lt;=Tabla2[[#This Row],[Fecha MAX de Resp]],"A Tiempo",0)))</f>
        <v>A Tiempo</v>
      </c>
      <c r="M100" s="43"/>
      <c r="N100" s="44"/>
      <c r="O100" s="48" t="b">
        <f>EXACT(Tabla2[[#This Row],[Fecha de Recibido]],Tabla2[[#This Row],[Fecha MAX de Resp]])</f>
        <v>0</v>
      </c>
      <c r="P100" s="48" t="b">
        <f>EXACT(Tabla2[[#This Row],[Fecha de Recibido]],Tabla2[[#This Row],[Fecha de Resp]])</f>
        <v>0</v>
      </c>
      <c r="Q100" s="45">
        <f>DATE(YEAR(Tabla2[[#This Row],[Fecha de Recibido]]),MONTH(Tabla2[[#This Row],[Fecha de Recibido]]),1)</f>
        <v>45383</v>
      </c>
      <c r="R100" s="45" t="s">
        <v>63</v>
      </c>
    </row>
    <row r="101" spans="1:18" ht="37.5" customHeight="1">
      <c r="A101" s="63">
        <v>45392</v>
      </c>
      <c r="B101" s="42" t="s">
        <v>26</v>
      </c>
      <c r="C101" s="42" t="s">
        <v>250</v>
      </c>
      <c r="D101" s="60">
        <v>45398</v>
      </c>
      <c r="E101" s="60">
        <v>45397</v>
      </c>
      <c r="G101" s="43" t="s">
        <v>251</v>
      </c>
      <c r="H101" s="43"/>
      <c r="I101" s="43"/>
      <c r="J101" s="43" t="s">
        <v>11</v>
      </c>
      <c r="K101" s="43" t="s">
        <v>18</v>
      </c>
      <c r="L101" s="44" t="str">
        <f>IF(Tabla2[[#This Row],[Fecha de Resp]]&gt;Tabla2[[#This Row],[Fecha MAX de Resp]],"Retrasado",IF(Tabla2[[#This Row],[Fecha de Resp]]=0,"Pendiente",IF(Tabla2[[#This Row],[Fecha de Resp]]&lt;=Tabla2[[#This Row],[Fecha MAX de Resp]],"A Tiempo",0)))</f>
        <v>A Tiempo</v>
      </c>
      <c r="M101" s="43"/>
      <c r="N101" s="44"/>
      <c r="O101" s="48" t="b">
        <f>EXACT(Tabla2[[#This Row],[Fecha de Recibido]],Tabla2[[#This Row],[Fecha MAX de Resp]])</f>
        <v>0</v>
      </c>
      <c r="P101" s="48" t="b">
        <f>EXACT(Tabla2[[#This Row],[Fecha de Recibido]],Tabla2[[#This Row],[Fecha de Resp]])</f>
        <v>0</v>
      </c>
      <c r="Q101" s="45">
        <f>DATE(YEAR(Tabla2[[#This Row],[Fecha de Recibido]]),MONTH(Tabla2[[#This Row],[Fecha de Recibido]]),1)</f>
        <v>45383</v>
      </c>
      <c r="R101" s="45" t="s">
        <v>63</v>
      </c>
    </row>
    <row r="102" spans="1:18" ht="37.5" customHeight="1">
      <c r="A102" s="63">
        <v>45392</v>
      </c>
      <c r="B102" s="42" t="s">
        <v>17</v>
      </c>
      <c r="C102" s="42" t="s">
        <v>252</v>
      </c>
      <c r="D102" s="60">
        <v>45392</v>
      </c>
      <c r="E102" s="60">
        <v>45392</v>
      </c>
      <c r="G102" s="43" t="s">
        <v>253</v>
      </c>
      <c r="H102" s="43"/>
      <c r="I102" s="43"/>
      <c r="J102" s="43" t="s">
        <v>8</v>
      </c>
      <c r="K102" s="43" t="s">
        <v>12</v>
      </c>
      <c r="L102" s="44" t="str">
        <f>IF(Tabla2[[#This Row],[Fecha de Resp]]&gt;Tabla2[[#This Row],[Fecha MAX de Resp]],"Retrasado",IF(Tabla2[[#This Row],[Fecha de Resp]]=0,"Pendiente",IF(Tabla2[[#This Row],[Fecha de Resp]]&lt;=Tabla2[[#This Row],[Fecha MAX de Resp]],"A Tiempo",0)))</f>
        <v>A Tiempo</v>
      </c>
      <c r="M102" s="43"/>
      <c r="N102" s="44"/>
      <c r="O102" s="48" t="b">
        <f>EXACT(Tabla2[[#This Row],[Fecha de Recibido]],Tabla2[[#This Row],[Fecha MAX de Resp]])</f>
        <v>1</v>
      </c>
      <c r="P102" s="48" t="b">
        <f>EXACT(Tabla2[[#This Row],[Fecha de Recibido]],Tabla2[[#This Row],[Fecha de Resp]])</f>
        <v>1</v>
      </c>
      <c r="Q102" s="45">
        <f>DATE(YEAR(Tabla2[[#This Row],[Fecha de Recibido]]),MONTH(Tabla2[[#This Row],[Fecha de Recibido]]),1)</f>
        <v>45383</v>
      </c>
      <c r="R102" s="45" t="s">
        <v>63</v>
      </c>
    </row>
    <row r="103" spans="1:18" ht="37.5" customHeight="1">
      <c r="A103" s="63">
        <v>45392</v>
      </c>
      <c r="B103" s="42" t="s">
        <v>17</v>
      </c>
      <c r="C103" s="42" t="s">
        <v>254</v>
      </c>
      <c r="D103" s="60">
        <v>45392</v>
      </c>
      <c r="E103" s="60">
        <v>45392</v>
      </c>
      <c r="G103" s="43" t="s">
        <v>255</v>
      </c>
      <c r="H103" s="43"/>
      <c r="I103" s="43"/>
      <c r="J103" s="43" t="s">
        <v>3</v>
      </c>
      <c r="K103" s="43" t="s">
        <v>12</v>
      </c>
      <c r="L103" s="44" t="str">
        <f>IF(Tabla2[[#This Row],[Fecha de Resp]]&gt;Tabla2[[#This Row],[Fecha MAX de Resp]],"Retrasado",IF(Tabla2[[#This Row],[Fecha de Resp]]=0,"Pendiente",IF(Tabla2[[#This Row],[Fecha de Resp]]&lt;=Tabla2[[#This Row],[Fecha MAX de Resp]],"A Tiempo",0)))</f>
        <v>A Tiempo</v>
      </c>
      <c r="M103" s="43"/>
      <c r="N103" s="44"/>
      <c r="O103" s="48" t="b">
        <f>EXACT(Tabla2[[#This Row],[Fecha de Recibido]],Tabla2[[#This Row],[Fecha MAX de Resp]])</f>
        <v>1</v>
      </c>
      <c r="P103" s="48" t="b">
        <f>EXACT(Tabla2[[#This Row],[Fecha de Recibido]],Tabla2[[#This Row],[Fecha de Resp]])</f>
        <v>1</v>
      </c>
      <c r="Q103" s="45">
        <f>DATE(YEAR(Tabla2[[#This Row],[Fecha de Recibido]]),MONTH(Tabla2[[#This Row],[Fecha de Recibido]]),1)</f>
        <v>45383</v>
      </c>
      <c r="R103" s="45" t="s">
        <v>63</v>
      </c>
    </row>
    <row r="104" spans="1:18" ht="37.5" customHeight="1">
      <c r="A104" s="63">
        <v>45384</v>
      </c>
      <c r="B104" s="42" t="s">
        <v>36</v>
      </c>
      <c r="C104" s="42" t="s">
        <v>256</v>
      </c>
      <c r="D104" s="60">
        <v>45391</v>
      </c>
      <c r="E104" s="60">
        <v>45391</v>
      </c>
      <c r="G104" s="43" t="s">
        <v>257</v>
      </c>
      <c r="H104" s="43"/>
      <c r="I104" s="43"/>
      <c r="J104" s="43" t="s">
        <v>3</v>
      </c>
      <c r="K104" s="43" t="s">
        <v>4</v>
      </c>
      <c r="L104" s="44" t="str">
        <f>IF(Tabla2[[#This Row],[Fecha de Resp]]&gt;Tabla2[[#This Row],[Fecha MAX de Resp]],"Retrasado",IF(Tabla2[[#This Row],[Fecha de Resp]]=0,"Pendiente",IF(Tabla2[[#This Row],[Fecha de Resp]]&lt;=Tabla2[[#This Row],[Fecha MAX de Resp]],"A Tiempo",0)))</f>
        <v>A Tiempo</v>
      </c>
      <c r="M104" s="43"/>
      <c r="N104" s="44"/>
      <c r="O104" s="48" t="b">
        <f>EXACT(Tabla2[[#This Row],[Fecha de Recibido]],Tabla2[[#This Row],[Fecha MAX de Resp]])</f>
        <v>0</v>
      </c>
      <c r="P104" s="48" t="b">
        <f>EXACT(Tabla2[[#This Row],[Fecha de Recibido]],Tabla2[[#This Row],[Fecha de Resp]])</f>
        <v>0</v>
      </c>
      <c r="Q104" s="45">
        <f>DATE(YEAR(Tabla2[[#This Row],[Fecha de Recibido]]),MONTH(Tabla2[[#This Row],[Fecha de Recibido]]),1)</f>
        <v>45383</v>
      </c>
      <c r="R104" s="45" t="s">
        <v>63</v>
      </c>
    </row>
    <row r="105" spans="1:18" ht="37.5" customHeight="1">
      <c r="A105" s="63">
        <v>45383</v>
      </c>
      <c r="B105" s="42" t="s">
        <v>32</v>
      </c>
      <c r="C105" s="42" t="s">
        <v>233</v>
      </c>
      <c r="D105" s="60">
        <v>45398</v>
      </c>
      <c r="E105" s="60">
        <v>45395</v>
      </c>
      <c r="G105" s="43" t="s">
        <v>258</v>
      </c>
      <c r="H105" s="43"/>
      <c r="I105" s="43"/>
      <c r="J105" s="43" t="s">
        <v>3</v>
      </c>
      <c r="K105" s="43" t="s">
        <v>4</v>
      </c>
      <c r="L105" s="44" t="str">
        <f>IF(Tabla2[[#This Row],[Fecha de Resp]]&gt;Tabla2[[#This Row],[Fecha MAX de Resp]],"Retrasado",IF(Tabla2[[#This Row],[Fecha de Resp]]=0,"Pendiente",IF(Tabla2[[#This Row],[Fecha de Resp]]&lt;=Tabla2[[#This Row],[Fecha MAX de Resp]],"A Tiempo",0)))</f>
        <v>A Tiempo</v>
      </c>
      <c r="M105" s="43"/>
      <c r="N105" s="44"/>
      <c r="O105" s="48" t="b">
        <f>EXACT(Tabla2[[#This Row],[Fecha de Recibido]],Tabla2[[#This Row],[Fecha MAX de Resp]])</f>
        <v>0</v>
      </c>
      <c r="P105" s="48" t="b">
        <f>EXACT(Tabla2[[#This Row],[Fecha de Recibido]],Tabla2[[#This Row],[Fecha de Resp]])</f>
        <v>0</v>
      </c>
      <c r="Q105" s="45">
        <f>DATE(YEAR(Tabla2[[#This Row],[Fecha de Recibido]]),MONTH(Tabla2[[#This Row],[Fecha de Recibido]]),1)</f>
        <v>45383</v>
      </c>
      <c r="R105" s="45" t="s">
        <v>63</v>
      </c>
    </row>
    <row r="106" spans="1:18" ht="37.5" customHeight="1">
      <c r="A106" s="63">
        <v>45383</v>
      </c>
      <c r="B106" s="42" t="s">
        <v>17</v>
      </c>
      <c r="C106" s="42" t="s">
        <v>259</v>
      </c>
      <c r="D106" s="60">
        <v>45390</v>
      </c>
      <c r="E106" s="60">
        <v>45391</v>
      </c>
      <c r="G106" s="43" t="s">
        <v>260</v>
      </c>
      <c r="H106" s="43"/>
      <c r="I106" s="43"/>
      <c r="J106" s="43" t="s">
        <v>3</v>
      </c>
      <c r="K106" s="43" t="s">
        <v>4</v>
      </c>
      <c r="L106" s="44" t="str">
        <f>IF(Tabla2[[#This Row],[Fecha de Resp]]&gt;Tabla2[[#This Row],[Fecha MAX de Resp]],"Retrasado",IF(Tabla2[[#This Row],[Fecha de Resp]]=0,"Pendiente",IF(Tabla2[[#This Row],[Fecha de Resp]]&lt;=Tabla2[[#This Row],[Fecha MAX de Resp]],"A Tiempo",0)))</f>
        <v>Retrasado</v>
      </c>
      <c r="M106" s="43"/>
      <c r="N106" s="44"/>
      <c r="O106" s="48" t="b">
        <f>EXACT(Tabla2[[#This Row],[Fecha de Recibido]],Tabla2[[#This Row],[Fecha MAX de Resp]])</f>
        <v>0</v>
      </c>
      <c r="P106" s="48" t="b">
        <f>EXACT(Tabla2[[#This Row],[Fecha de Recibido]],Tabla2[[#This Row],[Fecha de Resp]])</f>
        <v>0</v>
      </c>
      <c r="Q106" s="45">
        <f>DATE(YEAR(Tabla2[[#This Row],[Fecha de Recibido]]),MONTH(Tabla2[[#This Row],[Fecha de Recibido]]),1)</f>
        <v>45383</v>
      </c>
      <c r="R106" s="45" t="s">
        <v>63</v>
      </c>
    </row>
    <row r="107" spans="1:18" ht="37.5" customHeight="1">
      <c r="A107" s="63">
        <v>45383</v>
      </c>
      <c r="B107" s="42" t="s">
        <v>17</v>
      </c>
      <c r="C107" s="42" t="s">
        <v>261</v>
      </c>
      <c r="D107" s="60">
        <v>45387</v>
      </c>
      <c r="E107" s="60">
        <v>45391</v>
      </c>
      <c r="G107" s="43" t="s">
        <v>262</v>
      </c>
      <c r="H107" s="43"/>
      <c r="I107" s="43"/>
      <c r="J107" s="43" t="s">
        <v>3</v>
      </c>
      <c r="K107" s="43" t="s">
        <v>4</v>
      </c>
      <c r="L107" s="44" t="str">
        <f>IF(Tabla2[[#This Row],[Fecha de Resp]]&gt;Tabla2[[#This Row],[Fecha MAX de Resp]],"Retrasado",IF(Tabla2[[#This Row],[Fecha de Resp]]=0,"Pendiente",IF(Tabla2[[#This Row],[Fecha de Resp]]&lt;=Tabla2[[#This Row],[Fecha MAX de Resp]],"A Tiempo",0)))</f>
        <v>Retrasado</v>
      </c>
      <c r="M107" s="43"/>
      <c r="N107" s="44"/>
      <c r="O107" s="48" t="b">
        <f>EXACT(Tabla2[[#This Row],[Fecha de Recibido]],Tabla2[[#This Row],[Fecha MAX de Resp]])</f>
        <v>0</v>
      </c>
      <c r="P107" s="48" t="b">
        <f>EXACT(Tabla2[[#This Row],[Fecha de Recibido]],Tabla2[[#This Row],[Fecha de Resp]])</f>
        <v>0</v>
      </c>
      <c r="Q107" s="45">
        <f>DATE(YEAR(Tabla2[[#This Row],[Fecha de Recibido]]),MONTH(Tabla2[[#This Row],[Fecha de Recibido]]),1)</f>
        <v>45383</v>
      </c>
      <c r="R107" s="45" t="s">
        <v>63</v>
      </c>
    </row>
    <row r="108" spans="1:18" ht="37.5" customHeight="1">
      <c r="A108" s="63">
        <v>45377</v>
      </c>
      <c r="B108" s="42" t="s">
        <v>17</v>
      </c>
      <c r="C108" s="42" t="s">
        <v>263</v>
      </c>
      <c r="D108" s="60">
        <v>45377</v>
      </c>
      <c r="E108" s="60">
        <v>45377</v>
      </c>
      <c r="G108" s="43" t="s">
        <v>264</v>
      </c>
      <c r="H108" s="43"/>
      <c r="I108" s="43"/>
      <c r="J108" s="43" t="s">
        <v>14</v>
      </c>
      <c r="K108" s="43" t="s">
        <v>12</v>
      </c>
      <c r="L108" s="44" t="str">
        <f>IF(Tabla2[[#This Row],[Fecha de Resp]]&gt;Tabla2[[#This Row],[Fecha MAX de Resp]],"Retrasado",IF(Tabla2[[#This Row],[Fecha de Resp]]=0,"Pendiente",IF(Tabla2[[#This Row],[Fecha de Resp]]&lt;=Tabla2[[#This Row],[Fecha MAX de Resp]],"A Tiempo",0)))</f>
        <v>A Tiempo</v>
      </c>
      <c r="M108" s="43"/>
      <c r="N108" s="44"/>
      <c r="O108" s="48" t="b">
        <f>EXACT(Tabla2[[#This Row],[Fecha de Recibido]],Tabla2[[#This Row],[Fecha MAX de Resp]])</f>
        <v>1</v>
      </c>
      <c r="P108" s="48" t="b">
        <f>EXACT(Tabla2[[#This Row],[Fecha de Recibido]],Tabla2[[#This Row],[Fecha de Resp]])</f>
        <v>1</v>
      </c>
      <c r="Q108" s="45">
        <f>DATE(YEAR(Tabla2[[#This Row],[Fecha de Recibido]]),MONTH(Tabla2[[#This Row],[Fecha de Recibido]]),1)</f>
        <v>45352</v>
      </c>
      <c r="R108" s="45" t="s">
        <v>63</v>
      </c>
    </row>
    <row r="109" spans="1:18" ht="37.5" customHeight="1">
      <c r="A109" s="63">
        <v>45377</v>
      </c>
      <c r="B109" s="42" t="s">
        <v>17</v>
      </c>
      <c r="C109" s="42" t="s">
        <v>265</v>
      </c>
      <c r="D109" s="60">
        <v>45377</v>
      </c>
      <c r="E109" s="60">
        <v>45377</v>
      </c>
      <c r="G109" s="43" t="s">
        <v>266</v>
      </c>
      <c r="H109" s="43"/>
      <c r="I109" s="43"/>
      <c r="J109" s="43" t="s">
        <v>8</v>
      </c>
      <c r="K109" s="43" t="s">
        <v>12</v>
      </c>
      <c r="L109" s="44" t="str">
        <f>IF(Tabla2[[#This Row],[Fecha de Resp]]&gt;Tabla2[[#This Row],[Fecha MAX de Resp]],"Retrasado",IF(Tabla2[[#This Row],[Fecha de Resp]]=0,"Pendiente",IF(Tabla2[[#This Row],[Fecha de Resp]]&lt;=Tabla2[[#This Row],[Fecha MAX de Resp]],"A Tiempo",0)))</f>
        <v>A Tiempo</v>
      </c>
      <c r="M109" s="43"/>
      <c r="N109" s="44"/>
      <c r="O109" s="48" t="b">
        <f>EXACT(Tabla2[[#This Row],[Fecha de Recibido]],Tabla2[[#This Row],[Fecha MAX de Resp]])</f>
        <v>1</v>
      </c>
      <c r="P109" s="48" t="b">
        <f>EXACT(Tabla2[[#This Row],[Fecha de Recibido]],Tabla2[[#This Row],[Fecha de Resp]])</f>
        <v>1</v>
      </c>
      <c r="Q109" s="45">
        <f>DATE(YEAR(Tabla2[[#This Row],[Fecha de Recibido]]),MONTH(Tabla2[[#This Row],[Fecha de Recibido]]),1)</f>
        <v>45352</v>
      </c>
      <c r="R109" s="45" t="s">
        <v>63</v>
      </c>
    </row>
    <row r="110" spans="1:18" ht="37.5" customHeight="1">
      <c r="A110" s="63">
        <v>45377</v>
      </c>
      <c r="B110" s="42" t="s">
        <v>17</v>
      </c>
      <c r="C110" s="42" t="s">
        <v>267</v>
      </c>
      <c r="D110" s="60">
        <v>45377</v>
      </c>
      <c r="E110" s="60">
        <v>45377</v>
      </c>
      <c r="G110" s="43" t="s">
        <v>268</v>
      </c>
      <c r="H110" s="43"/>
      <c r="I110" s="43"/>
      <c r="J110" s="43" t="s">
        <v>11</v>
      </c>
      <c r="K110" s="43" t="s">
        <v>12</v>
      </c>
      <c r="L110" s="44" t="str">
        <f>IF(Tabla2[[#This Row],[Fecha de Resp]]&gt;Tabla2[[#This Row],[Fecha MAX de Resp]],"Retrasado",IF(Tabla2[[#This Row],[Fecha de Resp]]=0,"Pendiente",IF(Tabla2[[#This Row],[Fecha de Resp]]&lt;=Tabla2[[#This Row],[Fecha MAX de Resp]],"A Tiempo",0)))</f>
        <v>A Tiempo</v>
      </c>
      <c r="M110" s="43"/>
      <c r="N110" s="44"/>
      <c r="O110" s="48" t="b">
        <f>EXACT(Tabla2[[#This Row],[Fecha de Recibido]],Tabla2[[#This Row],[Fecha MAX de Resp]])</f>
        <v>1</v>
      </c>
      <c r="P110" s="48" t="b">
        <f>EXACT(Tabla2[[#This Row],[Fecha de Recibido]],Tabla2[[#This Row],[Fecha de Resp]])</f>
        <v>1</v>
      </c>
      <c r="Q110" s="45">
        <f>DATE(YEAR(Tabla2[[#This Row],[Fecha de Recibido]]),MONTH(Tabla2[[#This Row],[Fecha de Recibido]]),1)</f>
        <v>45352</v>
      </c>
      <c r="R110" s="45" t="s">
        <v>63</v>
      </c>
    </row>
    <row r="111" spans="1:18" ht="37.5" customHeight="1">
      <c r="A111" s="63">
        <v>45377</v>
      </c>
      <c r="B111" s="42" t="s">
        <v>17</v>
      </c>
      <c r="C111" s="42" t="s">
        <v>269</v>
      </c>
      <c r="D111" s="60">
        <v>45377</v>
      </c>
      <c r="E111" s="60">
        <v>45377</v>
      </c>
      <c r="G111" s="43" t="s">
        <v>270</v>
      </c>
      <c r="H111" s="43"/>
      <c r="I111" s="43"/>
      <c r="J111" s="43" t="s">
        <v>3</v>
      </c>
      <c r="K111" s="43" t="s">
        <v>12</v>
      </c>
      <c r="L111" s="44" t="str">
        <f>IF(Tabla2[[#This Row],[Fecha de Resp]]&gt;Tabla2[[#This Row],[Fecha MAX de Resp]],"Retrasado",IF(Tabla2[[#This Row],[Fecha de Resp]]=0,"Pendiente",IF(Tabla2[[#This Row],[Fecha de Resp]]&lt;=Tabla2[[#This Row],[Fecha MAX de Resp]],"A Tiempo",0)))</f>
        <v>A Tiempo</v>
      </c>
      <c r="M111" s="43"/>
      <c r="N111" s="44"/>
      <c r="O111" s="48" t="b">
        <f>EXACT(Tabla2[[#This Row],[Fecha de Recibido]],Tabla2[[#This Row],[Fecha MAX de Resp]])</f>
        <v>1</v>
      </c>
      <c r="P111" s="48" t="b">
        <f>EXACT(Tabla2[[#This Row],[Fecha de Recibido]],Tabla2[[#This Row],[Fecha de Resp]])</f>
        <v>1</v>
      </c>
      <c r="Q111" s="45">
        <f>DATE(YEAR(Tabla2[[#This Row],[Fecha de Recibido]]),MONTH(Tabla2[[#This Row],[Fecha de Recibido]]),1)</f>
        <v>45352</v>
      </c>
      <c r="R111" s="45" t="s">
        <v>63</v>
      </c>
    </row>
    <row r="112" spans="1:18" ht="37.5" customHeight="1">
      <c r="A112" s="63">
        <v>45370</v>
      </c>
      <c r="B112" s="42" t="s">
        <v>32</v>
      </c>
      <c r="C112" s="42" t="s">
        <v>271</v>
      </c>
      <c r="D112" s="60">
        <v>45004</v>
      </c>
      <c r="E112" s="60">
        <v>45004</v>
      </c>
      <c r="G112" s="43" t="s">
        <v>272</v>
      </c>
      <c r="H112" s="43"/>
      <c r="I112" s="43"/>
      <c r="J112" s="43" t="s">
        <v>3</v>
      </c>
      <c r="K112" s="43" t="s">
        <v>9</v>
      </c>
      <c r="L112" s="44" t="str">
        <f>IF(Tabla2[[#This Row],[Fecha de Resp]]&gt;Tabla2[[#This Row],[Fecha MAX de Resp]],"Retrasado",IF(Tabla2[[#This Row],[Fecha de Resp]]=0,"Pendiente",IF(Tabla2[[#This Row],[Fecha de Resp]]&lt;=Tabla2[[#This Row],[Fecha MAX de Resp]],"A Tiempo",0)))</f>
        <v>A Tiempo</v>
      </c>
      <c r="M112" s="43"/>
      <c r="N112" s="44"/>
      <c r="O112" s="48" t="b">
        <f>EXACT(Tabla2[[#This Row],[Fecha de Recibido]],Tabla2[[#This Row],[Fecha MAX de Resp]])</f>
        <v>0</v>
      </c>
      <c r="P112" s="48" t="b">
        <f>EXACT(Tabla2[[#This Row],[Fecha de Recibido]],Tabla2[[#This Row],[Fecha de Resp]])</f>
        <v>0</v>
      </c>
      <c r="Q112" s="45">
        <f>DATE(YEAR(Tabla2[[#This Row],[Fecha de Recibido]]),MONTH(Tabla2[[#This Row],[Fecha de Recibido]]),1)</f>
        <v>45352</v>
      </c>
      <c r="R112" s="45" t="s">
        <v>63</v>
      </c>
    </row>
    <row r="113" spans="1:18" ht="37.5" customHeight="1">
      <c r="A113" s="63">
        <v>45359</v>
      </c>
      <c r="B113" s="42" t="s">
        <v>30</v>
      </c>
      <c r="C113" s="42" t="s">
        <v>273</v>
      </c>
      <c r="D113" s="60">
        <v>45374</v>
      </c>
      <c r="E113" s="60">
        <v>45373</v>
      </c>
      <c r="G113" s="43" t="s">
        <v>274</v>
      </c>
      <c r="H113" s="43"/>
      <c r="I113" s="43"/>
      <c r="J113" s="43" t="s">
        <v>3</v>
      </c>
      <c r="K113" s="43" t="s">
        <v>15</v>
      </c>
      <c r="L113" s="44" t="str">
        <f>IF(Tabla2[[#This Row],[Fecha de Resp]]&gt;Tabla2[[#This Row],[Fecha MAX de Resp]],"Retrasado",IF(Tabla2[[#This Row],[Fecha de Resp]]=0,"Pendiente",IF(Tabla2[[#This Row],[Fecha de Resp]]&lt;=Tabla2[[#This Row],[Fecha MAX de Resp]],"A Tiempo",0)))</f>
        <v>A Tiempo</v>
      </c>
      <c r="M113" s="43"/>
      <c r="N113" s="44"/>
      <c r="O113" s="44" t="b">
        <f>EXACT(Tabla2[[#This Row],[Fecha de Recibido]],Tabla2[[#This Row],[Fecha MAX de Resp]])</f>
        <v>0</v>
      </c>
      <c r="P113" s="44" t="b">
        <f>EXACT(Tabla2[[#This Row],[Fecha de Recibido]],Tabla2[[#This Row],[Fecha de Resp]])</f>
        <v>0</v>
      </c>
      <c r="Q113" s="45">
        <f>DATE(YEAR(Tabla2[[#This Row],[Fecha de Recibido]]),MONTH(Tabla2[[#This Row],[Fecha de Recibido]]),1)</f>
        <v>45352</v>
      </c>
      <c r="R113" s="45" t="s">
        <v>63</v>
      </c>
    </row>
    <row r="114" spans="1:18" ht="37.5" customHeight="1">
      <c r="A114" s="63">
        <v>45356</v>
      </c>
      <c r="B114" s="42" t="s">
        <v>30</v>
      </c>
      <c r="C114" s="42" t="s">
        <v>275</v>
      </c>
      <c r="D114" s="60">
        <v>45371</v>
      </c>
      <c r="E114" s="60">
        <v>45371</v>
      </c>
      <c r="G114" s="43" t="s">
        <v>276</v>
      </c>
      <c r="H114" s="43"/>
      <c r="I114" s="43"/>
      <c r="J114" s="43" t="s">
        <v>3</v>
      </c>
      <c r="K114" s="43" t="s">
        <v>15</v>
      </c>
      <c r="L114" s="44" t="str">
        <f>IF(Tabla2[[#This Row],[Fecha de Resp]]&gt;Tabla2[[#This Row],[Fecha MAX de Resp]],"Retrasado",IF(Tabla2[[#This Row],[Fecha de Resp]]=0,"Pendiente",IF(Tabla2[[#This Row],[Fecha de Resp]]&lt;=Tabla2[[#This Row],[Fecha MAX de Resp]],"A Tiempo",0)))</f>
        <v>A Tiempo</v>
      </c>
      <c r="M114" s="43"/>
      <c r="N114" s="44"/>
      <c r="O114" s="44" t="b">
        <f>EXACT(Tabla2[[#This Row],[Fecha de Recibido]],Tabla2[[#This Row],[Fecha MAX de Resp]])</f>
        <v>0</v>
      </c>
      <c r="P114" s="44" t="b">
        <f>EXACT(Tabla2[[#This Row],[Fecha de Recibido]],Tabla2[[#This Row],[Fecha de Resp]])</f>
        <v>0</v>
      </c>
      <c r="Q114" s="45">
        <f>DATE(YEAR(Tabla2[[#This Row],[Fecha de Recibido]]),MONTH(Tabla2[[#This Row],[Fecha de Recibido]]),1)</f>
        <v>45352</v>
      </c>
      <c r="R114" s="45" t="s">
        <v>63</v>
      </c>
    </row>
    <row r="115" spans="1:18" ht="37.5" customHeight="1">
      <c r="A115" s="63">
        <v>45352</v>
      </c>
      <c r="B115" s="42" t="s">
        <v>17</v>
      </c>
      <c r="C115" s="42" t="s">
        <v>277</v>
      </c>
      <c r="D115" s="60">
        <v>45358</v>
      </c>
      <c r="E115" s="60">
        <v>45358</v>
      </c>
      <c r="G115" s="43" t="s">
        <v>278</v>
      </c>
      <c r="H115" s="43"/>
      <c r="I115" s="43"/>
      <c r="J115" s="43" t="s">
        <v>3</v>
      </c>
      <c r="K115" s="43" t="s">
        <v>4</v>
      </c>
      <c r="L115" s="44" t="str">
        <f>IF(Tabla2[[#This Row],[Fecha de Resp]]&gt;Tabla2[[#This Row],[Fecha MAX de Resp]],"Retrasado",IF(Tabla2[[#This Row],[Fecha de Resp]]=0,"Pendiente",IF(Tabla2[[#This Row],[Fecha de Resp]]&lt;=Tabla2[[#This Row],[Fecha MAX de Resp]],"A Tiempo",0)))</f>
        <v>A Tiempo</v>
      </c>
      <c r="M115" s="43"/>
      <c r="N115" s="44"/>
      <c r="O115" s="48" t="b">
        <f>EXACT(Tabla2[[#This Row],[Fecha de Recibido]],Tabla2[[#This Row],[Fecha MAX de Resp]])</f>
        <v>0</v>
      </c>
      <c r="P115" s="48" t="b">
        <f>EXACT(Tabla2[[#This Row],[Fecha de Recibido]],Tabla2[[#This Row],[Fecha de Resp]])</f>
        <v>0</v>
      </c>
      <c r="Q115" s="45">
        <f>DATE(YEAR(Tabla2[[#This Row],[Fecha de Recibido]]),MONTH(Tabla2[[#This Row],[Fecha de Recibido]]),1)</f>
        <v>45352</v>
      </c>
      <c r="R115" s="45" t="s">
        <v>63</v>
      </c>
    </row>
    <row r="116" spans="1:18" ht="37.5" customHeight="1">
      <c r="A116" s="63">
        <v>45351</v>
      </c>
      <c r="B116" s="42" t="s">
        <v>17</v>
      </c>
      <c r="C116" s="42" t="s">
        <v>279</v>
      </c>
      <c r="D116" s="60">
        <v>45356</v>
      </c>
      <c r="E116" s="60">
        <v>45356</v>
      </c>
      <c r="G116" s="43" t="s">
        <v>280</v>
      </c>
      <c r="H116" s="43"/>
      <c r="I116" s="43"/>
      <c r="J116" s="43" t="s">
        <v>3</v>
      </c>
      <c r="K116" s="43" t="s">
        <v>21</v>
      </c>
      <c r="L116" s="44" t="str">
        <f>IF(Tabla2[[#This Row],[Fecha de Resp]]&gt;Tabla2[[#This Row],[Fecha MAX de Resp]],"Retrasado",IF(Tabla2[[#This Row],[Fecha de Resp]]=0,"Pendiente",IF(Tabla2[[#This Row],[Fecha de Resp]]&lt;=Tabla2[[#This Row],[Fecha MAX de Resp]],"A Tiempo",0)))</f>
        <v>A Tiempo</v>
      </c>
      <c r="M116" s="43"/>
      <c r="N116" s="44"/>
      <c r="O116" s="48" t="b">
        <f>EXACT(Tabla2[[#This Row],[Fecha de Recibido]],Tabla2[[#This Row],[Fecha MAX de Resp]])</f>
        <v>0</v>
      </c>
      <c r="P116" s="48" t="b">
        <f>EXACT(Tabla2[[#This Row],[Fecha de Recibido]],Tabla2[[#This Row],[Fecha de Resp]])</f>
        <v>0</v>
      </c>
      <c r="Q116" s="45">
        <f>DATE(YEAR(Tabla2[[#This Row],[Fecha de Recibido]]),MONTH(Tabla2[[#This Row],[Fecha de Recibido]]),1)</f>
        <v>45323</v>
      </c>
      <c r="R116" s="45" t="s">
        <v>63</v>
      </c>
    </row>
    <row r="117" spans="1:18" ht="37.5" customHeight="1">
      <c r="A117" s="63">
        <v>45348</v>
      </c>
      <c r="B117" s="42" t="s">
        <v>17</v>
      </c>
      <c r="C117" s="42" t="s">
        <v>281</v>
      </c>
      <c r="D117" s="60">
        <v>45357</v>
      </c>
      <c r="E117" s="60">
        <v>45357</v>
      </c>
      <c r="G117" s="43" t="s">
        <v>282</v>
      </c>
      <c r="H117" s="43"/>
      <c r="I117" s="43"/>
      <c r="J117" s="43" t="s">
        <v>3</v>
      </c>
      <c r="K117" s="43" t="s">
        <v>9</v>
      </c>
      <c r="L117" s="44" t="str">
        <f>IF(Tabla2[[#This Row],[Fecha de Resp]]&gt;Tabla2[[#This Row],[Fecha MAX de Resp]],"Retrasado",IF(Tabla2[[#This Row],[Fecha de Resp]]=0,"Pendiente",IF(Tabla2[[#This Row],[Fecha de Resp]]&lt;=Tabla2[[#This Row],[Fecha MAX de Resp]],"A Tiempo",0)))</f>
        <v>A Tiempo</v>
      </c>
      <c r="M117" s="43"/>
      <c r="N117" s="44"/>
      <c r="O117" s="48" t="b">
        <f>EXACT(Tabla2[[#This Row],[Fecha de Recibido]],Tabla2[[#This Row],[Fecha MAX de Resp]])</f>
        <v>0</v>
      </c>
      <c r="P117" s="48" t="b">
        <f>EXACT(Tabla2[[#This Row],[Fecha de Recibido]],Tabla2[[#This Row],[Fecha de Resp]])</f>
        <v>0</v>
      </c>
      <c r="Q117" s="45">
        <f>DATE(YEAR(Tabla2[[#This Row],[Fecha de Recibido]]),MONTH(Tabla2[[#This Row],[Fecha de Recibido]]),1)</f>
        <v>45323</v>
      </c>
      <c r="R117" s="45" t="s">
        <v>63</v>
      </c>
    </row>
    <row r="118" spans="1:18" ht="37.5" customHeight="1">
      <c r="A118" s="63">
        <v>45341</v>
      </c>
      <c r="B118" s="42" t="s">
        <v>30</v>
      </c>
      <c r="C118" s="42" t="s">
        <v>283</v>
      </c>
      <c r="D118" s="60">
        <v>45348</v>
      </c>
      <c r="E118" s="60">
        <v>45341</v>
      </c>
      <c r="G118" s="43" t="s">
        <v>284</v>
      </c>
      <c r="H118" s="43"/>
      <c r="I118" s="43"/>
      <c r="J118" s="43" t="s">
        <v>3</v>
      </c>
      <c r="K118" s="43" t="s">
        <v>23</v>
      </c>
      <c r="L118" s="44" t="str">
        <f>IF(Tabla2[[#This Row],[Fecha de Resp]]&gt;Tabla2[[#This Row],[Fecha MAX de Resp]],"Retrasado",IF(Tabla2[[#This Row],[Fecha de Resp]]=0,"Pendiente",IF(Tabla2[[#This Row],[Fecha de Resp]]&lt;=Tabla2[[#This Row],[Fecha MAX de Resp]],"A Tiempo",0)))</f>
        <v>A Tiempo</v>
      </c>
      <c r="M118" s="43"/>
      <c r="N118" s="44"/>
      <c r="O118" s="48" t="b">
        <f>EXACT(Tabla2[[#This Row],[Fecha de Recibido]],Tabla2[[#This Row],[Fecha MAX de Resp]])</f>
        <v>0</v>
      </c>
      <c r="P118" s="48" t="b">
        <f>EXACT(Tabla2[[#This Row],[Fecha de Recibido]],Tabla2[[#This Row],[Fecha de Resp]])</f>
        <v>1</v>
      </c>
      <c r="Q118" s="45">
        <f>DATE(YEAR(Tabla2[[#This Row],[Fecha de Recibido]]),MONTH(Tabla2[[#This Row],[Fecha de Recibido]]),1)</f>
        <v>45323</v>
      </c>
      <c r="R118" s="45" t="s">
        <v>63</v>
      </c>
    </row>
    <row r="119" spans="1:18" ht="37.5" customHeight="1">
      <c r="A119" s="63">
        <v>45341</v>
      </c>
      <c r="B119" s="42" t="s">
        <v>30</v>
      </c>
      <c r="C119" s="42" t="s">
        <v>283</v>
      </c>
      <c r="D119" s="60">
        <v>45348</v>
      </c>
      <c r="E119" s="60">
        <v>45341</v>
      </c>
      <c r="G119" s="43" t="s">
        <v>285</v>
      </c>
      <c r="H119" s="43"/>
      <c r="I119" s="43"/>
      <c r="J119" s="43" t="s">
        <v>3</v>
      </c>
      <c r="K119" s="43" t="s">
        <v>23</v>
      </c>
      <c r="L119" s="44" t="str">
        <f>IF(Tabla2[[#This Row],[Fecha de Resp]]&gt;Tabla2[[#This Row],[Fecha MAX de Resp]],"Retrasado",IF(Tabla2[[#This Row],[Fecha de Resp]]=0,"Pendiente",IF(Tabla2[[#This Row],[Fecha de Resp]]&lt;=Tabla2[[#This Row],[Fecha MAX de Resp]],"A Tiempo",0)))</f>
        <v>A Tiempo</v>
      </c>
      <c r="M119" s="43"/>
      <c r="N119" s="44"/>
      <c r="O119" s="48" t="b">
        <f>EXACT(Tabla2[[#This Row],[Fecha de Recibido]],Tabla2[[#This Row],[Fecha MAX de Resp]])</f>
        <v>0</v>
      </c>
      <c r="P119" s="48" t="b">
        <f>EXACT(Tabla2[[#This Row],[Fecha de Recibido]],Tabla2[[#This Row],[Fecha de Resp]])</f>
        <v>1</v>
      </c>
      <c r="Q119" s="45">
        <f>DATE(YEAR(Tabla2[[#This Row],[Fecha de Recibido]]),MONTH(Tabla2[[#This Row],[Fecha de Recibido]]),1)</f>
        <v>45323</v>
      </c>
      <c r="R119" s="45" t="s">
        <v>63</v>
      </c>
    </row>
    <row r="120" spans="1:18" ht="37.5" customHeight="1">
      <c r="A120" s="63">
        <v>45341</v>
      </c>
      <c r="B120" s="42" t="s">
        <v>30</v>
      </c>
      <c r="C120" s="42" t="s">
        <v>283</v>
      </c>
      <c r="D120" s="60">
        <v>45348</v>
      </c>
      <c r="E120" s="60">
        <v>45341</v>
      </c>
      <c r="G120" s="43" t="s">
        <v>286</v>
      </c>
      <c r="H120" s="43"/>
      <c r="I120" s="43"/>
      <c r="J120" s="43" t="s">
        <v>3</v>
      </c>
      <c r="K120" s="43" t="s">
        <v>23</v>
      </c>
      <c r="L120" s="44" t="str">
        <f>IF(Tabla2[[#This Row],[Fecha de Resp]]&gt;Tabla2[[#This Row],[Fecha MAX de Resp]],"Retrasado",IF(Tabla2[[#This Row],[Fecha de Resp]]=0,"Pendiente",IF(Tabla2[[#This Row],[Fecha de Resp]]&lt;=Tabla2[[#This Row],[Fecha MAX de Resp]],"A Tiempo",0)))</f>
        <v>A Tiempo</v>
      </c>
      <c r="M120" s="43"/>
      <c r="N120" s="44"/>
      <c r="O120" s="48" t="b">
        <f>EXACT(Tabla2[[#This Row],[Fecha de Recibido]],Tabla2[[#This Row],[Fecha MAX de Resp]])</f>
        <v>0</v>
      </c>
      <c r="P120" s="48" t="b">
        <f>EXACT(Tabla2[[#This Row],[Fecha de Recibido]],Tabla2[[#This Row],[Fecha de Resp]])</f>
        <v>1</v>
      </c>
      <c r="Q120" s="45">
        <f>DATE(YEAR(Tabla2[[#This Row],[Fecha de Recibido]]),MONTH(Tabla2[[#This Row],[Fecha de Recibido]]),1)</f>
        <v>45323</v>
      </c>
      <c r="R120" s="45" t="s">
        <v>63</v>
      </c>
    </row>
    <row r="121" spans="1:18" ht="37.5" customHeight="1">
      <c r="A121" s="63">
        <v>45341</v>
      </c>
      <c r="B121" s="42" t="s">
        <v>30</v>
      </c>
      <c r="C121" s="42" t="s">
        <v>283</v>
      </c>
      <c r="D121" s="60">
        <v>45348</v>
      </c>
      <c r="E121" s="60">
        <v>45341</v>
      </c>
      <c r="G121" s="43" t="s">
        <v>287</v>
      </c>
      <c r="H121" s="43"/>
      <c r="I121" s="43"/>
      <c r="J121" s="43" t="s">
        <v>3</v>
      </c>
      <c r="K121" s="43" t="s">
        <v>23</v>
      </c>
      <c r="L121" s="44" t="str">
        <f>IF(Tabla2[[#This Row],[Fecha de Resp]]&gt;Tabla2[[#This Row],[Fecha MAX de Resp]],"Retrasado",IF(Tabla2[[#This Row],[Fecha de Resp]]=0,"Pendiente",IF(Tabla2[[#This Row],[Fecha de Resp]]&lt;=Tabla2[[#This Row],[Fecha MAX de Resp]],"A Tiempo",0)))</f>
        <v>A Tiempo</v>
      </c>
      <c r="M121" s="43"/>
      <c r="N121" s="44"/>
      <c r="O121" s="48" t="b">
        <f>EXACT(Tabla2[[#This Row],[Fecha de Recibido]],Tabla2[[#This Row],[Fecha MAX de Resp]])</f>
        <v>0</v>
      </c>
      <c r="P121" s="48" t="b">
        <f>EXACT(Tabla2[[#This Row],[Fecha de Recibido]],Tabla2[[#This Row],[Fecha de Resp]])</f>
        <v>1</v>
      </c>
      <c r="Q121" s="45">
        <f>DATE(YEAR(Tabla2[[#This Row],[Fecha de Recibido]]),MONTH(Tabla2[[#This Row],[Fecha de Recibido]]),1)</f>
        <v>45323</v>
      </c>
      <c r="R121" s="45" t="s">
        <v>63</v>
      </c>
    </row>
    <row r="122" spans="1:18" ht="37.5" customHeight="1">
      <c r="A122" s="63">
        <v>45338</v>
      </c>
      <c r="B122" s="42" t="s">
        <v>17</v>
      </c>
      <c r="C122" s="42" t="s">
        <v>288</v>
      </c>
      <c r="D122" s="60">
        <v>45345</v>
      </c>
      <c r="E122" s="60">
        <v>45345</v>
      </c>
      <c r="G122" s="43" t="s">
        <v>289</v>
      </c>
      <c r="H122" s="43"/>
      <c r="I122" s="43"/>
      <c r="J122" s="43" t="s">
        <v>3</v>
      </c>
      <c r="K122" s="43" t="s">
        <v>12</v>
      </c>
      <c r="L122" s="44" t="str">
        <f>IF(Tabla2[[#This Row],[Fecha de Resp]]&gt;Tabla2[[#This Row],[Fecha MAX de Resp]],"Retrasado",IF(Tabla2[[#This Row],[Fecha de Resp]]=0,"Pendiente",IF(Tabla2[[#This Row],[Fecha de Resp]]&lt;=Tabla2[[#This Row],[Fecha MAX de Resp]],"A Tiempo",0)))</f>
        <v>A Tiempo</v>
      </c>
      <c r="M122" s="43"/>
      <c r="N122" s="44"/>
      <c r="O122" s="48" t="b">
        <f>EXACT(Tabla2[[#This Row],[Fecha de Recibido]],Tabla2[[#This Row],[Fecha MAX de Resp]])</f>
        <v>0</v>
      </c>
      <c r="P122" s="48" t="b">
        <f>EXACT(Tabla2[[#This Row],[Fecha de Recibido]],Tabla2[[#This Row],[Fecha de Resp]])</f>
        <v>0</v>
      </c>
      <c r="Q122" s="45">
        <f>DATE(YEAR(Tabla2[[#This Row],[Fecha de Recibido]]),MONTH(Tabla2[[#This Row],[Fecha de Recibido]]),1)</f>
        <v>45323</v>
      </c>
      <c r="R122" s="45" t="s">
        <v>63</v>
      </c>
    </row>
    <row r="123" spans="1:18" ht="37.5" customHeight="1">
      <c r="A123" s="63">
        <v>45338</v>
      </c>
      <c r="B123" s="42" t="s">
        <v>17</v>
      </c>
      <c r="C123" s="42" t="s">
        <v>290</v>
      </c>
      <c r="D123" s="60">
        <v>45351</v>
      </c>
      <c r="E123" s="60">
        <v>45351</v>
      </c>
      <c r="G123" s="43" t="s">
        <v>291</v>
      </c>
      <c r="H123" s="43"/>
      <c r="I123" s="43"/>
      <c r="J123" s="43" t="s">
        <v>3</v>
      </c>
      <c r="K123" s="43" t="s">
        <v>12</v>
      </c>
      <c r="L123" s="44" t="str">
        <f>IF(Tabla2[[#This Row],[Fecha de Resp]]&gt;Tabla2[[#This Row],[Fecha MAX de Resp]],"Retrasado",IF(Tabla2[[#This Row],[Fecha de Resp]]=0,"Pendiente",IF(Tabla2[[#This Row],[Fecha de Resp]]&lt;=Tabla2[[#This Row],[Fecha MAX de Resp]],"A Tiempo",0)))</f>
        <v>A Tiempo</v>
      </c>
      <c r="M123" s="43"/>
      <c r="N123" s="44"/>
      <c r="O123" s="48" t="b">
        <f>EXACT(Tabla2[[#This Row],[Fecha de Recibido]],Tabla2[[#This Row],[Fecha MAX de Resp]])</f>
        <v>0</v>
      </c>
      <c r="P123" s="48" t="b">
        <f>EXACT(Tabla2[[#This Row],[Fecha de Recibido]],Tabla2[[#This Row],[Fecha de Resp]])</f>
        <v>0</v>
      </c>
      <c r="Q123" s="45">
        <f>DATE(YEAR(Tabla2[[#This Row],[Fecha de Recibido]]),MONTH(Tabla2[[#This Row],[Fecha de Recibido]]),1)</f>
        <v>45323</v>
      </c>
      <c r="R123" s="45" t="s">
        <v>63</v>
      </c>
    </row>
    <row r="124" spans="1:18" ht="37.5" customHeight="1">
      <c r="A124" s="63">
        <v>45338</v>
      </c>
      <c r="B124" s="42" t="s">
        <v>17</v>
      </c>
      <c r="C124" s="42" t="s">
        <v>290</v>
      </c>
      <c r="D124" s="60">
        <v>45351</v>
      </c>
      <c r="E124" s="60">
        <v>45351</v>
      </c>
      <c r="G124" s="43" t="s">
        <v>292</v>
      </c>
      <c r="H124" s="43"/>
      <c r="I124" s="43"/>
      <c r="J124" s="43" t="s">
        <v>3</v>
      </c>
      <c r="K124" s="43" t="s">
        <v>12</v>
      </c>
      <c r="L124" s="44" t="str">
        <f>IF(Tabla2[[#This Row],[Fecha de Resp]]&gt;Tabla2[[#This Row],[Fecha MAX de Resp]],"Retrasado",IF(Tabla2[[#This Row],[Fecha de Resp]]=0,"Pendiente",IF(Tabla2[[#This Row],[Fecha de Resp]]&lt;=Tabla2[[#This Row],[Fecha MAX de Resp]],"A Tiempo",0)))</f>
        <v>A Tiempo</v>
      </c>
      <c r="M124" s="43"/>
      <c r="N124" s="44"/>
      <c r="O124" s="48" t="b">
        <f>EXACT(Tabla2[[#This Row],[Fecha de Recibido]],Tabla2[[#This Row],[Fecha MAX de Resp]])</f>
        <v>0</v>
      </c>
      <c r="P124" s="48" t="b">
        <f>EXACT(Tabla2[[#This Row],[Fecha de Recibido]],Tabla2[[#This Row],[Fecha de Resp]])</f>
        <v>0</v>
      </c>
      <c r="Q124" s="45">
        <f>DATE(YEAR(Tabla2[[#This Row],[Fecha de Recibido]]),MONTH(Tabla2[[#This Row],[Fecha de Recibido]]),1)</f>
        <v>45323</v>
      </c>
      <c r="R124" s="45" t="s">
        <v>63</v>
      </c>
    </row>
    <row r="125" spans="1:18" ht="37.5" customHeight="1">
      <c r="A125" s="63">
        <v>45338</v>
      </c>
      <c r="B125" s="42" t="s">
        <v>17</v>
      </c>
      <c r="C125" s="42" t="s">
        <v>290</v>
      </c>
      <c r="D125" s="60">
        <v>45351</v>
      </c>
      <c r="E125" s="60">
        <v>45351</v>
      </c>
      <c r="G125" s="43" t="s">
        <v>293</v>
      </c>
      <c r="H125" s="43"/>
      <c r="I125" s="43"/>
      <c r="J125" s="43" t="s">
        <v>3</v>
      </c>
      <c r="K125" s="43" t="s">
        <v>12</v>
      </c>
      <c r="L125" s="44" t="str">
        <f>IF(Tabla2[[#This Row],[Fecha de Resp]]&gt;Tabla2[[#This Row],[Fecha MAX de Resp]],"Retrasado",IF(Tabla2[[#This Row],[Fecha de Resp]]=0,"Pendiente",IF(Tabla2[[#This Row],[Fecha de Resp]]&lt;=Tabla2[[#This Row],[Fecha MAX de Resp]],"A Tiempo",0)))</f>
        <v>A Tiempo</v>
      </c>
      <c r="M125" s="43"/>
      <c r="N125" s="44"/>
      <c r="O125" s="48" t="b">
        <f>EXACT(Tabla2[[#This Row],[Fecha de Recibido]],Tabla2[[#This Row],[Fecha MAX de Resp]])</f>
        <v>0</v>
      </c>
      <c r="P125" s="48" t="b">
        <f>EXACT(Tabla2[[#This Row],[Fecha de Recibido]],Tabla2[[#This Row],[Fecha de Resp]])</f>
        <v>0</v>
      </c>
      <c r="Q125" s="45">
        <f>DATE(YEAR(Tabla2[[#This Row],[Fecha de Recibido]]),MONTH(Tabla2[[#This Row],[Fecha de Recibido]]),1)</f>
        <v>45323</v>
      </c>
      <c r="R125" s="45" t="s">
        <v>63</v>
      </c>
    </row>
    <row r="126" spans="1:18" ht="37.5" customHeight="1">
      <c r="A126" s="63">
        <v>45338</v>
      </c>
      <c r="B126" s="42" t="s">
        <v>17</v>
      </c>
      <c r="C126" s="42" t="s">
        <v>290</v>
      </c>
      <c r="D126" s="60">
        <v>45351</v>
      </c>
      <c r="E126" s="60">
        <v>45351</v>
      </c>
      <c r="G126" s="43" t="s">
        <v>294</v>
      </c>
      <c r="H126" s="43"/>
      <c r="I126" s="43"/>
      <c r="J126" s="43" t="s">
        <v>3</v>
      </c>
      <c r="K126" s="43" t="s">
        <v>12</v>
      </c>
      <c r="L126" s="44" t="str">
        <f>IF(Tabla2[[#This Row],[Fecha de Resp]]&gt;Tabla2[[#This Row],[Fecha MAX de Resp]],"Retrasado",IF(Tabla2[[#This Row],[Fecha de Resp]]=0,"Pendiente",IF(Tabla2[[#This Row],[Fecha de Resp]]&lt;=Tabla2[[#This Row],[Fecha MAX de Resp]],"A Tiempo",0)))</f>
        <v>A Tiempo</v>
      </c>
      <c r="M126" s="43"/>
      <c r="N126" s="44"/>
      <c r="O126" s="48" t="b">
        <f>EXACT(Tabla2[[#This Row],[Fecha de Recibido]],Tabla2[[#This Row],[Fecha MAX de Resp]])</f>
        <v>0</v>
      </c>
      <c r="P126" s="48" t="b">
        <f>EXACT(Tabla2[[#This Row],[Fecha de Recibido]],Tabla2[[#This Row],[Fecha de Resp]])</f>
        <v>0</v>
      </c>
      <c r="Q126" s="45">
        <f>DATE(YEAR(Tabla2[[#This Row],[Fecha de Recibido]]),MONTH(Tabla2[[#This Row],[Fecha de Recibido]]),1)</f>
        <v>45323</v>
      </c>
      <c r="R126" s="45" t="s">
        <v>63</v>
      </c>
    </row>
    <row r="127" spans="1:18" ht="37.5" customHeight="1">
      <c r="A127" s="63">
        <v>45335</v>
      </c>
      <c r="B127" s="42" t="s">
        <v>41</v>
      </c>
      <c r="C127" s="42" t="s">
        <v>295</v>
      </c>
      <c r="D127" s="60">
        <v>45335</v>
      </c>
      <c r="E127" s="60">
        <v>45335</v>
      </c>
      <c r="G127" s="43" t="s">
        <v>296</v>
      </c>
      <c r="H127" s="43"/>
      <c r="I127" s="43"/>
      <c r="J127" s="43" t="s">
        <v>3</v>
      </c>
      <c r="K127" s="43" t="s">
        <v>9</v>
      </c>
      <c r="L127" s="44" t="str">
        <f>IF(Tabla2[[#This Row],[Fecha de Resp]]&gt;Tabla2[[#This Row],[Fecha MAX de Resp]],"Retrasado",IF(Tabla2[[#This Row],[Fecha de Resp]]=0,"Pendiente",IF(Tabla2[[#This Row],[Fecha de Resp]]&lt;=Tabla2[[#This Row],[Fecha MAX de Resp]],"A Tiempo",0)))</f>
        <v>A Tiempo</v>
      </c>
      <c r="M127" s="43"/>
      <c r="N127" s="44"/>
      <c r="O127" s="44" t="b">
        <f>EXACT(Tabla2[[#This Row],[Fecha de Recibido]],Tabla2[[#This Row],[Fecha MAX de Resp]])</f>
        <v>1</v>
      </c>
      <c r="P127" s="44" t="b">
        <f>EXACT(Tabla2[[#This Row],[Fecha de Recibido]],Tabla2[[#This Row],[Fecha de Resp]])</f>
        <v>1</v>
      </c>
      <c r="Q127" s="45">
        <f>DATE(YEAR(Tabla2[[#This Row],[Fecha de Recibido]]),MONTH(Tabla2[[#This Row],[Fecha de Recibido]]),1)</f>
        <v>45323</v>
      </c>
      <c r="R127" s="45" t="s">
        <v>63</v>
      </c>
    </row>
    <row r="128" spans="1:18" ht="37.5" customHeight="1">
      <c r="A128" s="63">
        <v>45330</v>
      </c>
      <c r="B128" s="42" t="s">
        <v>17</v>
      </c>
      <c r="C128" s="42" t="s">
        <v>297</v>
      </c>
      <c r="D128" s="60">
        <v>45335</v>
      </c>
      <c r="E128" s="60">
        <v>45335</v>
      </c>
      <c r="G128" s="43" t="s">
        <v>298</v>
      </c>
      <c r="H128" s="43"/>
      <c r="I128" s="43"/>
      <c r="J128" s="43" t="s">
        <v>11</v>
      </c>
      <c r="K128" s="43" t="s">
        <v>18</v>
      </c>
      <c r="L128" s="44" t="str">
        <f>IF(Tabla2[[#This Row],[Fecha de Resp]]&gt;Tabla2[[#This Row],[Fecha MAX de Resp]],"Retrasado",IF(Tabla2[[#This Row],[Fecha de Resp]]=0,"Pendiente",IF(Tabla2[[#This Row],[Fecha de Resp]]&lt;=Tabla2[[#This Row],[Fecha MAX de Resp]],"A Tiempo",0)))</f>
        <v>A Tiempo</v>
      </c>
      <c r="M128" s="43"/>
      <c r="N128" s="44"/>
      <c r="O128" s="48" t="b">
        <f>EXACT(Tabla2[[#This Row],[Fecha de Recibido]],Tabla2[[#This Row],[Fecha MAX de Resp]])</f>
        <v>0</v>
      </c>
      <c r="P128" s="48" t="b">
        <f>EXACT(Tabla2[[#This Row],[Fecha de Recibido]],Tabla2[[#This Row],[Fecha de Resp]])</f>
        <v>0</v>
      </c>
      <c r="Q128" s="45">
        <f>DATE(YEAR(Tabla2[[#This Row],[Fecha de Recibido]]),MONTH(Tabla2[[#This Row],[Fecha de Recibido]]),1)</f>
        <v>45323</v>
      </c>
      <c r="R128" s="45" t="s">
        <v>63</v>
      </c>
    </row>
    <row r="129" spans="1:18" ht="37.5" customHeight="1">
      <c r="A129" s="63">
        <v>45330</v>
      </c>
      <c r="B129" s="42" t="s">
        <v>17</v>
      </c>
      <c r="C129" s="42" t="s">
        <v>299</v>
      </c>
      <c r="D129" s="60">
        <v>45335</v>
      </c>
      <c r="E129" s="60">
        <v>45335</v>
      </c>
      <c r="G129" s="43" t="s">
        <v>300</v>
      </c>
      <c r="H129" s="43"/>
      <c r="I129" s="43"/>
      <c r="J129" s="43" t="s">
        <v>8</v>
      </c>
      <c r="K129" s="43" t="s">
        <v>18</v>
      </c>
      <c r="L129" s="44" t="str">
        <f>IF(Tabla2[[#This Row],[Fecha de Resp]]&gt;Tabla2[[#This Row],[Fecha MAX de Resp]],"Retrasado",IF(Tabla2[[#This Row],[Fecha de Resp]]=0,"Pendiente",IF(Tabla2[[#This Row],[Fecha de Resp]]&lt;=Tabla2[[#This Row],[Fecha MAX de Resp]],"A Tiempo",0)))</f>
        <v>A Tiempo</v>
      </c>
      <c r="M129" s="43"/>
      <c r="N129" s="44"/>
      <c r="O129" s="48" t="b">
        <f>EXACT(Tabla2[[#This Row],[Fecha de Recibido]],Tabla2[[#This Row],[Fecha MAX de Resp]])</f>
        <v>0</v>
      </c>
      <c r="P129" s="48" t="b">
        <f>EXACT(Tabla2[[#This Row],[Fecha de Recibido]],Tabla2[[#This Row],[Fecha de Resp]])</f>
        <v>0</v>
      </c>
      <c r="Q129" s="45">
        <f>DATE(YEAR(Tabla2[[#This Row],[Fecha de Recibido]]),MONTH(Tabla2[[#This Row],[Fecha de Recibido]]),1)</f>
        <v>45323</v>
      </c>
      <c r="R129" s="45" t="s">
        <v>63</v>
      </c>
    </row>
    <row r="130" spans="1:18" ht="37.5" customHeight="1">
      <c r="A130" s="63">
        <v>45330</v>
      </c>
      <c r="B130" s="42" t="s">
        <v>17</v>
      </c>
      <c r="C130" s="42" t="s">
        <v>299</v>
      </c>
      <c r="D130" s="60">
        <v>45335</v>
      </c>
      <c r="E130" s="60">
        <v>45335</v>
      </c>
      <c r="G130" s="43" t="s">
        <v>300</v>
      </c>
      <c r="H130" s="43"/>
      <c r="I130" s="43"/>
      <c r="J130" s="43" t="s">
        <v>8</v>
      </c>
      <c r="K130" s="43" t="s">
        <v>12</v>
      </c>
      <c r="L130" s="44" t="str">
        <f>IF(Tabla2[[#This Row],[Fecha de Resp]]&gt;Tabla2[[#This Row],[Fecha MAX de Resp]],"Retrasado",IF(Tabla2[[#This Row],[Fecha de Resp]]=0,"Pendiente",IF(Tabla2[[#This Row],[Fecha de Resp]]&lt;=Tabla2[[#This Row],[Fecha MAX de Resp]],"A Tiempo",0)))</f>
        <v>A Tiempo</v>
      </c>
      <c r="M130" s="43"/>
      <c r="N130" s="44"/>
      <c r="O130" s="48" t="b">
        <f>EXACT(Tabla2[[#This Row],[Fecha de Recibido]],Tabla2[[#This Row],[Fecha MAX de Resp]])</f>
        <v>0</v>
      </c>
      <c r="P130" s="48" t="b">
        <f>EXACT(Tabla2[[#This Row],[Fecha de Recibido]],Tabla2[[#This Row],[Fecha de Resp]])</f>
        <v>0</v>
      </c>
      <c r="Q130" s="45">
        <f>DATE(YEAR(Tabla2[[#This Row],[Fecha de Recibido]]),MONTH(Tabla2[[#This Row],[Fecha de Recibido]]),1)</f>
        <v>45323</v>
      </c>
      <c r="R130" s="45" t="s">
        <v>63</v>
      </c>
    </row>
    <row r="131" spans="1:18" ht="37.5" customHeight="1">
      <c r="A131" s="63">
        <v>45323</v>
      </c>
      <c r="B131" s="42" t="s">
        <v>32</v>
      </c>
      <c r="C131" s="42" t="s">
        <v>233</v>
      </c>
      <c r="D131" s="60">
        <v>45337</v>
      </c>
      <c r="E131" s="60">
        <v>45331</v>
      </c>
      <c r="G131" s="43" t="s">
        <v>301</v>
      </c>
      <c r="H131" s="43"/>
      <c r="I131" s="43"/>
      <c r="J131" s="43" t="s">
        <v>3</v>
      </c>
      <c r="K131" s="43" t="s">
        <v>18</v>
      </c>
      <c r="L131" s="44" t="str">
        <f>IF(Tabla2[[#This Row],[Fecha de Resp]]&gt;Tabla2[[#This Row],[Fecha MAX de Resp]],"Retrasado",IF(Tabla2[[#This Row],[Fecha de Resp]]=0,"Pendiente",IF(Tabla2[[#This Row],[Fecha de Resp]]&lt;=Tabla2[[#This Row],[Fecha MAX de Resp]],"A Tiempo",0)))</f>
        <v>A Tiempo</v>
      </c>
      <c r="M131" s="43"/>
      <c r="N131" s="44"/>
      <c r="O131" s="48" t="b">
        <f>EXACT(Tabla2[[#This Row],[Fecha de Recibido]],Tabla2[[#This Row],[Fecha MAX de Resp]])</f>
        <v>0</v>
      </c>
      <c r="P131" s="48" t="b">
        <f>EXACT(Tabla2[[#This Row],[Fecha de Recibido]],Tabla2[[#This Row],[Fecha de Resp]])</f>
        <v>0</v>
      </c>
      <c r="Q131" s="45">
        <f>DATE(YEAR(Tabla2[[#This Row],[Fecha de Recibido]]),MONTH(Tabla2[[#This Row],[Fecha de Recibido]]),1)</f>
        <v>45323</v>
      </c>
      <c r="R131" s="45" t="s">
        <v>63</v>
      </c>
    </row>
    <row r="132" spans="1:18" ht="37.5" customHeight="1">
      <c r="A132" s="63">
        <v>45323</v>
      </c>
      <c r="B132" s="42" t="s">
        <v>17</v>
      </c>
      <c r="C132" s="42" t="s">
        <v>302</v>
      </c>
      <c r="D132" s="60">
        <v>45329</v>
      </c>
      <c r="E132" s="60">
        <v>45329</v>
      </c>
      <c r="G132" s="43" t="s">
        <v>303</v>
      </c>
      <c r="H132" s="43"/>
      <c r="I132" s="43"/>
      <c r="J132" s="43" t="s">
        <v>3</v>
      </c>
      <c r="K132" s="43" t="s">
        <v>12</v>
      </c>
      <c r="L132" s="44" t="str">
        <f>IF(Tabla2[[#This Row],[Fecha de Resp]]&gt;Tabla2[[#This Row],[Fecha MAX de Resp]],"Retrasado",IF(Tabla2[[#This Row],[Fecha de Resp]]=0,"Pendiente",IF(Tabla2[[#This Row],[Fecha de Resp]]&lt;=Tabla2[[#This Row],[Fecha MAX de Resp]],"A Tiempo",0)))</f>
        <v>A Tiempo</v>
      </c>
      <c r="M132" s="43"/>
      <c r="N132" s="44"/>
      <c r="O132" s="48" t="b">
        <f>EXACT(Tabla2[[#This Row],[Fecha de Recibido]],Tabla2[[#This Row],[Fecha MAX de Resp]])</f>
        <v>0</v>
      </c>
      <c r="P132" s="48" t="b">
        <f>EXACT(Tabla2[[#This Row],[Fecha de Recibido]],Tabla2[[#This Row],[Fecha de Resp]])</f>
        <v>0</v>
      </c>
      <c r="Q132" s="45">
        <f>DATE(YEAR(Tabla2[[#This Row],[Fecha de Recibido]]),MONTH(Tabla2[[#This Row],[Fecha de Recibido]]),1)</f>
        <v>45323</v>
      </c>
      <c r="R132" s="45" t="s">
        <v>63</v>
      </c>
    </row>
    <row r="133" spans="1:18" ht="37.5" customHeight="1">
      <c r="A133" s="63">
        <v>45322</v>
      </c>
      <c r="B133" s="42" t="s">
        <v>37</v>
      </c>
      <c r="C133" s="42" t="s">
        <v>304</v>
      </c>
      <c r="D133" s="60">
        <v>45351</v>
      </c>
      <c r="E133" s="60">
        <v>45351</v>
      </c>
      <c r="G133" s="43" t="s">
        <v>305</v>
      </c>
      <c r="H133" s="43"/>
      <c r="I133" s="43"/>
      <c r="J133" s="43" t="s">
        <v>3</v>
      </c>
      <c r="K133" s="43" t="s">
        <v>15</v>
      </c>
      <c r="L133" s="44" t="str">
        <f>IF(Tabla2[[#This Row],[Fecha de Resp]]&gt;Tabla2[[#This Row],[Fecha MAX de Resp]],"Retrasado",IF(Tabla2[[#This Row],[Fecha de Resp]]=0,"Pendiente",IF(Tabla2[[#This Row],[Fecha de Resp]]&lt;=Tabla2[[#This Row],[Fecha MAX de Resp]],"A Tiempo",0)))</f>
        <v>A Tiempo</v>
      </c>
      <c r="M133" s="43"/>
      <c r="N133" s="44"/>
      <c r="O133" s="44" t="b">
        <f>EXACT(Tabla2[[#This Row],[Fecha de Recibido]],Tabla2[[#This Row],[Fecha MAX de Resp]])</f>
        <v>0</v>
      </c>
      <c r="P133" s="44" t="b">
        <f>EXACT(Tabla2[[#This Row],[Fecha de Recibido]],Tabla2[[#This Row],[Fecha de Resp]])</f>
        <v>0</v>
      </c>
      <c r="Q133" s="45">
        <f>DATE(YEAR(Tabla2[[#This Row],[Fecha de Recibido]]),MONTH(Tabla2[[#This Row],[Fecha de Recibido]]),1)</f>
        <v>45292</v>
      </c>
      <c r="R133" s="45" t="s">
        <v>63</v>
      </c>
    </row>
    <row r="134" spans="1:18" ht="37.5" customHeight="1">
      <c r="A134" s="63">
        <v>45322</v>
      </c>
      <c r="B134" s="42" t="s">
        <v>32</v>
      </c>
      <c r="C134" s="42" t="s">
        <v>306</v>
      </c>
      <c r="D134" s="60">
        <v>45322</v>
      </c>
      <c r="E134" s="60">
        <v>45322</v>
      </c>
      <c r="G134" s="43" t="s">
        <v>307</v>
      </c>
      <c r="H134" s="43"/>
      <c r="I134" s="43"/>
      <c r="J134" s="43" t="s">
        <v>11</v>
      </c>
      <c r="K134" s="43" t="s">
        <v>9</v>
      </c>
      <c r="L134" s="44" t="str">
        <f>IF(Tabla2[[#This Row],[Fecha de Resp]]&gt;Tabla2[[#This Row],[Fecha MAX de Resp]],"Retrasado",IF(Tabla2[[#This Row],[Fecha de Resp]]=0,"Pendiente",IF(Tabla2[[#This Row],[Fecha de Resp]]&lt;=Tabla2[[#This Row],[Fecha MAX de Resp]],"A Tiempo",0)))</f>
        <v>A Tiempo</v>
      </c>
      <c r="M134" s="43"/>
      <c r="N134" s="44"/>
      <c r="O134" s="44" t="b">
        <f>EXACT(Tabla2[[#This Row],[Fecha de Recibido]],Tabla2[[#This Row],[Fecha MAX de Resp]])</f>
        <v>1</v>
      </c>
      <c r="P134" s="44" t="b">
        <f>EXACT(Tabla2[[#This Row],[Fecha de Recibido]],Tabla2[[#This Row],[Fecha de Resp]])</f>
        <v>1</v>
      </c>
      <c r="Q134" s="45">
        <f>DATE(YEAR(Tabla2[[#This Row],[Fecha de Recibido]]),MONTH(Tabla2[[#This Row],[Fecha de Recibido]]),1)</f>
        <v>45292</v>
      </c>
      <c r="R134" s="45" t="s">
        <v>63</v>
      </c>
    </row>
    <row r="135" spans="1:18" ht="37.5" customHeight="1">
      <c r="A135" s="63">
        <v>45320</v>
      </c>
      <c r="B135" s="42" t="s">
        <v>32</v>
      </c>
      <c r="C135" s="42" t="s">
        <v>308</v>
      </c>
      <c r="D135" s="60">
        <v>45327</v>
      </c>
      <c r="E135" s="60">
        <v>45327</v>
      </c>
      <c r="G135" s="43" t="s">
        <v>309</v>
      </c>
      <c r="H135" s="43"/>
      <c r="I135" s="43"/>
      <c r="J135" s="43" t="s">
        <v>3</v>
      </c>
      <c r="K135" s="43" t="s">
        <v>12</v>
      </c>
      <c r="L135" s="44" t="str">
        <f>IF(Tabla2[[#This Row],[Fecha de Resp]]&gt;Tabla2[[#This Row],[Fecha MAX de Resp]],"Retrasado",IF(Tabla2[[#This Row],[Fecha de Resp]]=0,"Pendiente",IF(Tabla2[[#This Row],[Fecha de Resp]]&lt;=Tabla2[[#This Row],[Fecha MAX de Resp]],"A Tiempo",0)))</f>
        <v>A Tiempo</v>
      </c>
      <c r="M135" s="43"/>
      <c r="N135" s="44"/>
      <c r="O135" s="44" t="b">
        <f>EXACT(Tabla2[[#This Row],[Fecha de Recibido]],Tabla2[[#This Row],[Fecha MAX de Resp]])</f>
        <v>0</v>
      </c>
      <c r="P135" s="44" t="b">
        <f>EXACT(Tabla2[[#This Row],[Fecha de Recibido]],Tabla2[[#This Row],[Fecha de Resp]])</f>
        <v>0</v>
      </c>
      <c r="Q135" s="45">
        <f>DATE(YEAR(Tabla2[[#This Row],[Fecha de Recibido]]),MONTH(Tabla2[[#This Row],[Fecha de Recibido]]),1)</f>
        <v>45292</v>
      </c>
      <c r="R135" s="45" t="s">
        <v>63</v>
      </c>
    </row>
    <row r="136" spans="1:18" ht="37.5" customHeight="1">
      <c r="A136" s="63">
        <v>45320</v>
      </c>
      <c r="B136" s="42" t="s">
        <v>32</v>
      </c>
      <c r="C136" s="42" t="s">
        <v>310</v>
      </c>
      <c r="D136" s="60">
        <v>45327</v>
      </c>
      <c r="E136" s="60">
        <v>45327</v>
      </c>
      <c r="G136" s="43" t="s">
        <v>311</v>
      </c>
      <c r="H136" s="43"/>
      <c r="I136" s="43"/>
      <c r="J136" s="43" t="s">
        <v>3</v>
      </c>
      <c r="K136" s="43" t="s">
        <v>12</v>
      </c>
      <c r="L136" s="44" t="str">
        <f>IF(Tabla2[[#This Row],[Fecha de Resp]]&gt;Tabla2[[#This Row],[Fecha MAX de Resp]],"Retrasado",IF(Tabla2[[#This Row],[Fecha de Resp]]=0,"Pendiente",IF(Tabla2[[#This Row],[Fecha de Resp]]&lt;=Tabla2[[#This Row],[Fecha MAX de Resp]],"A Tiempo",0)))</f>
        <v>A Tiempo</v>
      </c>
      <c r="M136" s="43"/>
      <c r="N136" s="44"/>
      <c r="O136" s="48" t="b">
        <f>EXACT(Tabla2[[#This Row],[Fecha de Recibido]],Tabla2[[#This Row],[Fecha MAX de Resp]])</f>
        <v>0</v>
      </c>
      <c r="P136" s="48" t="b">
        <f>EXACT(Tabla2[[#This Row],[Fecha de Recibido]],Tabla2[[#This Row],[Fecha de Resp]])</f>
        <v>0</v>
      </c>
      <c r="Q136" s="45">
        <f>DATE(YEAR(Tabla2[[#This Row],[Fecha de Recibido]]),MONTH(Tabla2[[#This Row],[Fecha de Recibido]]),1)</f>
        <v>45292</v>
      </c>
      <c r="R136" s="45" t="s">
        <v>63</v>
      </c>
    </row>
    <row r="137" spans="1:18" ht="37.5" customHeight="1">
      <c r="A137" s="63">
        <v>45315</v>
      </c>
      <c r="B137" s="42" t="s">
        <v>26</v>
      </c>
      <c r="C137" s="42" t="s">
        <v>312</v>
      </c>
      <c r="D137" s="60">
        <v>45327</v>
      </c>
      <c r="E137" s="60">
        <v>45327</v>
      </c>
      <c r="G137" s="43" t="s">
        <v>313</v>
      </c>
      <c r="H137" s="43"/>
      <c r="I137" s="43"/>
      <c r="J137" s="43" t="s">
        <v>8</v>
      </c>
      <c r="K137" s="43" t="s">
        <v>31</v>
      </c>
      <c r="L137" s="44" t="str">
        <f>IF(Tabla2[[#This Row],[Fecha de Resp]]&gt;Tabla2[[#This Row],[Fecha MAX de Resp]],"Retrasado",IF(Tabla2[[#This Row],[Fecha de Resp]]=0,"Pendiente",IF(Tabla2[[#This Row],[Fecha de Resp]]&lt;=Tabla2[[#This Row],[Fecha MAX de Resp]],"A Tiempo",0)))</f>
        <v>A Tiempo</v>
      </c>
      <c r="M137" s="43"/>
      <c r="N137" s="44"/>
      <c r="O137" s="44" t="b">
        <f>EXACT(Tabla2[[#This Row],[Fecha de Recibido]],Tabla2[[#This Row],[Fecha MAX de Resp]])</f>
        <v>0</v>
      </c>
      <c r="P137" s="44" t="b">
        <f>EXACT(Tabla2[[#This Row],[Fecha de Recibido]],Tabla2[[#This Row],[Fecha de Resp]])</f>
        <v>0</v>
      </c>
      <c r="Q137" s="45">
        <f>DATE(YEAR(Tabla2[[#This Row],[Fecha de Recibido]]),MONTH(Tabla2[[#This Row],[Fecha de Recibido]]),1)</f>
        <v>45292</v>
      </c>
      <c r="R137" s="45" t="s">
        <v>63</v>
      </c>
    </row>
    <row r="138" spans="1:18" ht="37.5" customHeight="1">
      <c r="A138" s="63">
        <v>45315</v>
      </c>
      <c r="B138" s="42" t="s">
        <v>26</v>
      </c>
      <c r="C138" s="42" t="s">
        <v>314</v>
      </c>
      <c r="D138" s="60">
        <v>45327</v>
      </c>
      <c r="E138" s="60">
        <v>45327</v>
      </c>
      <c r="G138" s="43" t="s">
        <v>315</v>
      </c>
      <c r="H138" s="43"/>
      <c r="I138" s="43"/>
      <c r="J138" s="43" t="s">
        <v>3</v>
      </c>
      <c r="K138" s="43" t="s">
        <v>31</v>
      </c>
      <c r="L138" s="44" t="str">
        <f>IF(Tabla2[[#This Row],[Fecha de Resp]]&gt;Tabla2[[#This Row],[Fecha MAX de Resp]],"Retrasado",IF(Tabla2[[#This Row],[Fecha de Resp]]=0,"Pendiente",IF(Tabla2[[#This Row],[Fecha de Resp]]&lt;=Tabla2[[#This Row],[Fecha MAX de Resp]],"A Tiempo",0)))</f>
        <v>A Tiempo</v>
      </c>
      <c r="M138" s="43"/>
      <c r="N138" s="44"/>
      <c r="O138" s="48" t="b">
        <f>EXACT(Tabla2[[#This Row],[Fecha de Recibido]],Tabla2[[#This Row],[Fecha MAX de Resp]])</f>
        <v>0</v>
      </c>
      <c r="P138" s="48" t="b">
        <f>EXACT(Tabla2[[#This Row],[Fecha de Recibido]],Tabla2[[#This Row],[Fecha de Resp]])</f>
        <v>0</v>
      </c>
      <c r="Q138" s="45">
        <f>DATE(YEAR(Tabla2[[#This Row],[Fecha de Recibido]]),MONTH(Tabla2[[#This Row],[Fecha de Recibido]]),1)</f>
        <v>45292</v>
      </c>
      <c r="R138" s="45" t="s">
        <v>63</v>
      </c>
    </row>
    <row r="139" spans="1:18" ht="37.5" customHeight="1">
      <c r="A139" s="63">
        <v>45310</v>
      </c>
      <c r="B139" s="42" t="s">
        <v>32</v>
      </c>
      <c r="C139" s="42" t="s">
        <v>316</v>
      </c>
      <c r="D139" s="60">
        <v>45310</v>
      </c>
      <c r="E139" s="60">
        <v>45310</v>
      </c>
      <c r="G139" s="43" t="s">
        <v>317</v>
      </c>
      <c r="H139" s="43"/>
      <c r="I139" s="43"/>
      <c r="J139" s="43" t="s">
        <v>3</v>
      </c>
      <c r="K139" s="43" t="s">
        <v>15</v>
      </c>
      <c r="L139" s="44" t="str">
        <f>IF(Tabla2[[#This Row],[Fecha de Resp]]&gt;Tabla2[[#This Row],[Fecha MAX de Resp]],"Retrasado",IF(Tabla2[[#This Row],[Fecha de Resp]]=0,"Pendiente",IF(Tabla2[[#This Row],[Fecha de Resp]]&lt;=Tabla2[[#This Row],[Fecha MAX de Resp]],"A Tiempo",0)))</f>
        <v>A Tiempo</v>
      </c>
      <c r="M139" s="43"/>
      <c r="N139" s="44"/>
      <c r="O139" s="44" t="b">
        <f>EXACT(Tabla2[[#This Row],[Fecha de Recibido]],Tabla2[[#This Row],[Fecha MAX de Resp]])</f>
        <v>1</v>
      </c>
      <c r="P139" s="44" t="b">
        <f>EXACT(Tabla2[[#This Row],[Fecha de Recibido]],Tabla2[[#This Row],[Fecha de Resp]])</f>
        <v>1</v>
      </c>
      <c r="Q139" s="45">
        <f>DATE(YEAR(Tabla2[[#This Row],[Fecha de Recibido]]),MONTH(Tabla2[[#This Row],[Fecha de Recibido]]),1)</f>
        <v>45292</v>
      </c>
      <c r="R139" s="45" t="s">
        <v>63</v>
      </c>
    </row>
    <row r="140" spans="1:18" ht="37.5" customHeight="1">
      <c r="A140" s="63">
        <v>45303</v>
      </c>
      <c r="B140" s="42" t="s">
        <v>32</v>
      </c>
      <c r="C140" s="42" t="s">
        <v>318</v>
      </c>
      <c r="D140" s="60">
        <v>45351</v>
      </c>
      <c r="E140" s="60">
        <v>45351</v>
      </c>
      <c r="G140" s="43" t="s">
        <v>319</v>
      </c>
      <c r="H140" s="43"/>
      <c r="I140" s="43"/>
      <c r="J140" s="43" t="s">
        <v>3</v>
      </c>
      <c r="K140" s="43" t="s">
        <v>12</v>
      </c>
      <c r="L140" s="44" t="str">
        <f>IF(Tabla2[[#This Row],[Fecha de Resp]]&gt;Tabla2[[#This Row],[Fecha MAX de Resp]],"Retrasado",IF(Tabla2[[#This Row],[Fecha de Resp]]=0,"Pendiente",IF(Tabla2[[#This Row],[Fecha de Resp]]&lt;=Tabla2[[#This Row],[Fecha MAX de Resp]],"A Tiempo",0)))</f>
        <v>A Tiempo</v>
      </c>
      <c r="M140" s="43"/>
      <c r="N140" s="44"/>
      <c r="O140" s="44" t="b">
        <f>EXACT(Tabla2[[#This Row],[Fecha de Recibido]],Tabla2[[#This Row],[Fecha MAX de Resp]])</f>
        <v>0</v>
      </c>
      <c r="P140" s="44" t="b">
        <f>EXACT(Tabla2[[#This Row],[Fecha de Recibido]],Tabla2[[#This Row],[Fecha de Resp]])</f>
        <v>0</v>
      </c>
      <c r="Q140" s="45">
        <f>DATE(YEAR(Tabla2[[#This Row],[Fecha de Recibido]]),MONTH(Tabla2[[#This Row],[Fecha de Recibido]]),1)</f>
        <v>45292</v>
      </c>
      <c r="R140" s="45" t="s">
        <v>63</v>
      </c>
    </row>
    <row r="141" spans="1:18" ht="37.5" customHeight="1">
      <c r="A141" s="63">
        <v>45303</v>
      </c>
      <c r="B141" s="42" t="s">
        <v>37</v>
      </c>
      <c r="C141" s="42" t="s">
        <v>320</v>
      </c>
      <c r="D141" s="60">
        <v>45310</v>
      </c>
      <c r="E141" s="60">
        <v>45323</v>
      </c>
      <c r="G141" s="43" t="s">
        <v>321</v>
      </c>
      <c r="H141" s="43"/>
      <c r="I141" s="43"/>
      <c r="J141" s="43" t="s">
        <v>3</v>
      </c>
      <c r="K141" s="43" t="s">
        <v>12</v>
      </c>
      <c r="L141" s="44" t="str">
        <f>IF(Tabla2[[#This Row],[Fecha de Resp]]&gt;Tabla2[[#This Row],[Fecha MAX de Resp]],"Retrasado",IF(Tabla2[[#This Row],[Fecha de Resp]]=0,"Pendiente",IF(Tabla2[[#This Row],[Fecha de Resp]]&lt;=Tabla2[[#This Row],[Fecha MAX de Resp]],"A Tiempo",0)))</f>
        <v>Retrasado</v>
      </c>
      <c r="M141" s="43"/>
      <c r="N141" s="44"/>
      <c r="O141" s="44" t="b">
        <f>EXACT(Tabla2[[#This Row],[Fecha de Recibido]],Tabla2[[#This Row],[Fecha MAX de Resp]])</f>
        <v>0</v>
      </c>
      <c r="P141" s="44" t="b">
        <f>EXACT(Tabla2[[#This Row],[Fecha de Recibido]],Tabla2[[#This Row],[Fecha de Resp]])</f>
        <v>0</v>
      </c>
      <c r="Q141" s="45">
        <f>DATE(YEAR(Tabla2[[#This Row],[Fecha de Recibido]]),MONTH(Tabla2[[#This Row],[Fecha de Recibido]]),1)</f>
        <v>45292</v>
      </c>
      <c r="R141" s="45" t="s">
        <v>63</v>
      </c>
    </row>
    <row r="142" spans="1:18" ht="37.5" customHeight="1">
      <c r="A142" s="63">
        <v>45303</v>
      </c>
      <c r="B142" s="42" t="s">
        <v>41</v>
      </c>
      <c r="C142" s="42" t="s">
        <v>322</v>
      </c>
      <c r="D142" s="60">
        <v>45303</v>
      </c>
      <c r="E142" s="60">
        <v>45303</v>
      </c>
      <c r="G142" s="43" t="s">
        <v>323</v>
      </c>
      <c r="H142" s="43"/>
      <c r="I142" s="43"/>
      <c r="J142" s="43" t="s">
        <v>3</v>
      </c>
      <c r="K142" s="43" t="s">
        <v>15</v>
      </c>
      <c r="L142" s="44" t="str">
        <f>IF(Tabla2[[#This Row],[Fecha de Resp]]&gt;Tabla2[[#This Row],[Fecha MAX de Resp]],"Retrasado",IF(Tabla2[[#This Row],[Fecha de Resp]]=0,"Pendiente",IF(Tabla2[[#This Row],[Fecha de Resp]]&lt;=Tabla2[[#This Row],[Fecha MAX de Resp]],"A Tiempo",0)))</f>
        <v>A Tiempo</v>
      </c>
      <c r="M142" s="43"/>
      <c r="N142" s="44"/>
      <c r="O142" s="44" t="b">
        <f>EXACT(Tabla2[[#This Row],[Fecha de Recibido]],Tabla2[[#This Row],[Fecha MAX de Resp]])</f>
        <v>1</v>
      </c>
      <c r="P142" s="44" t="b">
        <f>EXACT(Tabla2[[#This Row],[Fecha de Recibido]],Tabla2[[#This Row],[Fecha de Resp]])</f>
        <v>1</v>
      </c>
      <c r="Q142" s="45">
        <f>DATE(YEAR(Tabla2[[#This Row],[Fecha de Recibido]]),MONTH(Tabla2[[#This Row],[Fecha de Recibido]]),1)</f>
        <v>45292</v>
      </c>
      <c r="R142" s="45" t="s">
        <v>63</v>
      </c>
    </row>
    <row r="143" spans="1:18" ht="37.5" customHeight="1">
      <c r="A143" s="63">
        <v>45303</v>
      </c>
      <c r="B143" s="42" t="s">
        <v>37</v>
      </c>
      <c r="C143" s="42" t="s">
        <v>320</v>
      </c>
      <c r="D143" s="60">
        <v>45310</v>
      </c>
      <c r="E143" s="60">
        <v>45323</v>
      </c>
      <c r="G143" s="43" t="s">
        <v>324</v>
      </c>
      <c r="H143" s="43"/>
      <c r="I143" s="43"/>
      <c r="J143" s="43" t="s">
        <v>3</v>
      </c>
      <c r="K143" s="43" t="s">
        <v>9</v>
      </c>
      <c r="L143" s="44" t="str">
        <f>IF(Tabla2[[#This Row],[Fecha de Resp]]&gt;Tabla2[[#This Row],[Fecha MAX de Resp]],"Retrasado",IF(Tabla2[[#This Row],[Fecha de Resp]]=0,"Pendiente",IF(Tabla2[[#This Row],[Fecha de Resp]]&lt;=Tabla2[[#This Row],[Fecha MAX de Resp]],"A Tiempo",0)))</f>
        <v>Retrasado</v>
      </c>
      <c r="M143" s="43"/>
      <c r="N143" s="44"/>
      <c r="O143" s="48" t="b">
        <f>EXACT(Tabla2[[#This Row],[Fecha de Recibido]],Tabla2[[#This Row],[Fecha MAX de Resp]])</f>
        <v>0</v>
      </c>
      <c r="P143" s="48" t="b">
        <f>EXACT(Tabla2[[#This Row],[Fecha de Recibido]],Tabla2[[#This Row],[Fecha de Resp]])</f>
        <v>0</v>
      </c>
      <c r="Q143" s="45">
        <f>DATE(YEAR(Tabla2[[#This Row],[Fecha de Recibido]]),MONTH(Tabla2[[#This Row],[Fecha de Recibido]]),1)</f>
        <v>45292</v>
      </c>
      <c r="R143" s="45" t="s">
        <v>63</v>
      </c>
    </row>
    <row r="144" spans="1:18" ht="37.5" customHeight="1">
      <c r="A144" s="62">
        <v>45303</v>
      </c>
      <c r="B144" s="47" t="s">
        <v>17</v>
      </c>
      <c r="C144" s="42" t="s">
        <v>325</v>
      </c>
      <c r="D144" s="54">
        <v>45287</v>
      </c>
      <c r="E144" s="54">
        <v>45303</v>
      </c>
      <c r="F144" s="47"/>
      <c r="G144" s="43" t="s">
        <v>326</v>
      </c>
      <c r="H144" s="43"/>
      <c r="I144" s="43" t="s">
        <v>327</v>
      </c>
      <c r="J144" s="43" t="s">
        <v>3</v>
      </c>
      <c r="K144" s="43" t="s">
        <v>12</v>
      </c>
      <c r="L144" s="44" t="str">
        <f>IF(Tabla2[[#This Row],[Fecha de Resp]]&gt;Tabla2[[#This Row],[Fecha MAX de Resp]],"Retrasado",IF(Tabla2[[#This Row],[Fecha de Resp]]=0,"Pendiente",IF(Tabla2[[#This Row],[Fecha de Resp]]&lt;=Tabla2[[#This Row],[Fecha MAX de Resp]],"A Tiempo",0)))</f>
        <v>Retrasado</v>
      </c>
      <c r="M144" s="47"/>
      <c r="N144" s="47"/>
      <c r="O144" s="48" t="b">
        <f>EXACT(Tabla2[[#This Row],[Fecha de Recibido]],Tabla2[[#This Row],[Fecha MAX de Resp]])</f>
        <v>0</v>
      </c>
      <c r="P144" s="48" t="b">
        <f>EXACT(Tabla2[[#This Row],[Fecha de Recibido]],Tabla2[[#This Row],[Fecha de Resp]])</f>
        <v>1</v>
      </c>
      <c r="Q144" s="45">
        <f>DATE(YEAR(Tabla2[[#This Row],[Fecha de Recibido]]),MONTH(Tabla2[[#This Row],[Fecha de Recibido]]),1)</f>
        <v>45292</v>
      </c>
      <c r="R144" s="45" t="s">
        <v>63</v>
      </c>
    </row>
    <row r="145" spans="1:18" ht="37.5" customHeight="1">
      <c r="A145" s="63">
        <v>45301</v>
      </c>
      <c r="B145" s="42" t="s">
        <v>30</v>
      </c>
      <c r="C145" s="42" t="s">
        <v>328</v>
      </c>
      <c r="D145" s="60">
        <v>45315</v>
      </c>
      <c r="E145" s="60">
        <v>45315</v>
      </c>
      <c r="G145" s="43" t="s">
        <v>329</v>
      </c>
      <c r="H145" s="43"/>
      <c r="I145" s="43"/>
      <c r="J145" s="43" t="s">
        <v>3</v>
      </c>
      <c r="K145" s="43" t="s">
        <v>15</v>
      </c>
      <c r="L145" s="44" t="str">
        <f>IF(Tabla2[[#This Row],[Fecha de Resp]]&gt;Tabla2[[#This Row],[Fecha MAX de Resp]],"Retrasado",IF(Tabla2[[#This Row],[Fecha de Resp]]=0,"Pendiente",IF(Tabla2[[#This Row],[Fecha de Resp]]&lt;=Tabla2[[#This Row],[Fecha MAX de Resp]],"A Tiempo",0)))</f>
        <v>A Tiempo</v>
      </c>
      <c r="M145" s="43"/>
      <c r="N145" s="44"/>
      <c r="O145" s="44" t="b">
        <f>EXACT(Tabla2[[#This Row],[Fecha de Recibido]],Tabla2[[#This Row],[Fecha MAX de Resp]])</f>
        <v>0</v>
      </c>
      <c r="P145" s="44" t="b">
        <f>EXACT(Tabla2[[#This Row],[Fecha de Recibido]],Tabla2[[#This Row],[Fecha de Resp]])</f>
        <v>0</v>
      </c>
      <c r="Q145" s="45">
        <f>DATE(YEAR(Tabla2[[#This Row],[Fecha de Recibido]]),MONTH(Tabla2[[#This Row],[Fecha de Recibido]]),1)</f>
        <v>45292</v>
      </c>
      <c r="R145" s="45" t="s">
        <v>63</v>
      </c>
    </row>
    <row r="146" spans="1:18" ht="37.5" customHeight="1">
      <c r="A146" s="63">
        <v>45301</v>
      </c>
      <c r="B146" s="42" t="s">
        <v>30</v>
      </c>
      <c r="C146" s="42" t="s">
        <v>328</v>
      </c>
      <c r="D146" s="60">
        <v>45315</v>
      </c>
      <c r="E146" s="60">
        <v>45315</v>
      </c>
      <c r="G146" s="43" t="s">
        <v>330</v>
      </c>
      <c r="H146" s="43"/>
      <c r="I146" s="43"/>
      <c r="J146" s="43" t="s">
        <v>3</v>
      </c>
      <c r="K146" s="43" t="s">
        <v>15</v>
      </c>
      <c r="L146" s="44" t="str">
        <f>IF(Tabla2[[#This Row],[Fecha de Resp]]&gt;Tabla2[[#This Row],[Fecha MAX de Resp]],"Retrasado",IF(Tabla2[[#This Row],[Fecha de Resp]]=0,"Pendiente",IF(Tabla2[[#This Row],[Fecha de Resp]]&lt;=Tabla2[[#This Row],[Fecha MAX de Resp]],"A Tiempo",0)))</f>
        <v>A Tiempo</v>
      </c>
      <c r="M146" s="43"/>
      <c r="N146" s="44"/>
      <c r="O146" s="44" t="b">
        <f>EXACT(Tabla2[[#This Row],[Fecha de Recibido]],Tabla2[[#This Row],[Fecha MAX de Resp]])</f>
        <v>0</v>
      </c>
      <c r="P146" s="44" t="b">
        <f>EXACT(Tabla2[[#This Row],[Fecha de Recibido]],Tabla2[[#This Row],[Fecha de Resp]])</f>
        <v>0</v>
      </c>
      <c r="Q146" s="45">
        <f>DATE(YEAR(Tabla2[[#This Row],[Fecha de Recibido]]),MONTH(Tabla2[[#This Row],[Fecha de Recibido]]),1)</f>
        <v>45292</v>
      </c>
      <c r="R146" s="45" t="s">
        <v>63</v>
      </c>
    </row>
    <row r="147" spans="1:18" ht="37.5" customHeight="1">
      <c r="A147" s="63">
        <v>45293</v>
      </c>
      <c r="B147" s="42" t="s">
        <v>17</v>
      </c>
      <c r="C147" s="42" t="s">
        <v>331</v>
      </c>
      <c r="D147" s="60">
        <v>45328</v>
      </c>
      <c r="E147" s="60">
        <v>45328</v>
      </c>
      <c r="G147" s="43" t="s">
        <v>332</v>
      </c>
      <c r="H147" s="43"/>
      <c r="I147" s="43"/>
      <c r="J147" s="43" t="s">
        <v>14</v>
      </c>
      <c r="K147" s="43" t="s">
        <v>12</v>
      </c>
      <c r="L147" s="44" t="str">
        <f>IF(Tabla2[[#This Row],[Fecha de Resp]]&gt;Tabla2[[#This Row],[Fecha MAX de Resp]],"Retrasado",IF(Tabla2[[#This Row],[Fecha de Resp]]=0,"Pendiente",IF(Tabla2[[#This Row],[Fecha de Resp]]&lt;=Tabla2[[#This Row],[Fecha MAX de Resp]],"A Tiempo",0)))</f>
        <v>A Tiempo</v>
      </c>
      <c r="M147" s="43"/>
      <c r="N147" s="44"/>
      <c r="O147" s="48" t="b">
        <f>EXACT(Tabla2[[#This Row],[Fecha de Recibido]],Tabla2[[#This Row],[Fecha MAX de Resp]])</f>
        <v>0</v>
      </c>
      <c r="P147" s="48" t="b">
        <f>EXACT(Tabla2[[#This Row],[Fecha de Recibido]],Tabla2[[#This Row],[Fecha de Resp]])</f>
        <v>0</v>
      </c>
      <c r="Q147" s="45">
        <f>DATE(YEAR(Tabla2[[#This Row],[Fecha de Recibido]]),MONTH(Tabla2[[#This Row],[Fecha de Recibido]]),1)</f>
        <v>45292</v>
      </c>
      <c r="R147" s="45" t="s">
        <v>63</v>
      </c>
    </row>
    <row r="148" spans="1:18" ht="37.5" customHeight="1">
      <c r="A148" s="63">
        <v>45293</v>
      </c>
      <c r="B148" s="42" t="s">
        <v>17</v>
      </c>
      <c r="C148" s="42" t="s">
        <v>333</v>
      </c>
      <c r="D148" s="60">
        <v>45328</v>
      </c>
      <c r="E148" s="60">
        <v>45328</v>
      </c>
      <c r="G148" s="43" t="s">
        <v>334</v>
      </c>
      <c r="H148" s="43"/>
      <c r="I148" s="43"/>
      <c r="J148" s="43" t="s">
        <v>11</v>
      </c>
      <c r="K148" s="43" t="s">
        <v>12</v>
      </c>
      <c r="L148" s="44" t="str">
        <f>IF(Tabla2[[#This Row],[Fecha de Resp]]&gt;Tabla2[[#This Row],[Fecha MAX de Resp]],"Retrasado",IF(Tabla2[[#This Row],[Fecha de Resp]]=0,"Pendiente",IF(Tabla2[[#This Row],[Fecha de Resp]]&lt;=Tabla2[[#This Row],[Fecha MAX de Resp]],"A Tiempo",0)))</f>
        <v>A Tiempo</v>
      </c>
      <c r="M148" s="43"/>
      <c r="N148" s="44"/>
      <c r="O148" s="48" t="b">
        <f>EXACT(Tabla2[[#This Row],[Fecha de Recibido]],Tabla2[[#This Row],[Fecha MAX de Resp]])</f>
        <v>0</v>
      </c>
      <c r="P148" s="48" t="b">
        <f>EXACT(Tabla2[[#This Row],[Fecha de Recibido]],Tabla2[[#This Row],[Fecha de Resp]])</f>
        <v>0</v>
      </c>
      <c r="Q148" s="45">
        <f>DATE(YEAR(Tabla2[[#This Row],[Fecha de Recibido]]),MONTH(Tabla2[[#This Row],[Fecha de Recibido]]),1)</f>
        <v>45292</v>
      </c>
      <c r="R148" s="45" t="s">
        <v>63</v>
      </c>
    </row>
    <row r="149" spans="1:18" ht="37.5" customHeight="1">
      <c r="A149" s="63">
        <v>45293</v>
      </c>
      <c r="B149" s="42" t="s">
        <v>17</v>
      </c>
      <c r="C149" s="42" t="s">
        <v>335</v>
      </c>
      <c r="D149" s="60">
        <v>45328</v>
      </c>
      <c r="E149" s="60">
        <v>45328</v>
      </c>
      <c r="G149" s="43" t="s">
        <v>336</v>
      </c>
      <c r="H149" s="43"/>
      <c r="I149" s="43"/>
      <c r="J149" s="43" t="s">
        <v>8</v>
      </c>
      <c r="K149" s="43" t="s">
        <v>12</v>
      </c>
      <c r="L149" s="44" t="str">
        <f>IF(Tabla2[[#This Row],[Fecha de Resp]]&gt;Tabla2[[#This Row],[Fecha MAX de Resp]],"Retrasado",IF(Tabla2[[#This Row],[Fecha de Resp]]=0,"Pendiente",IF(Tabla2[[#This Row],[Fecha de Resp]]&lt;=Tabla2[[#This Row],[Fecha MAX de Resp]],"A Tiempo",0)))</f>
        <v>A Tiempo</v>
      </c>
      <c r="M149" s="43"/>
      <c r="N149" s="44"/>
      <c r="O149" s="48" t="b">
        <f>EXACT(Tabla2[[#This Row],[Fecha de Recibido]],Tabla2[[#This Row],[Fecha MAX de Resp]])</f>
        <v>0</v>
      </c>
      <c r="P149" s="48" t="b">
        <f>EXACT(Tabla2[[#This Row],[Fecha de Recibido]],Tabla2[[#This Row],[Fecha de Resp]])</f>
        <v>0</v>
      </c>
      <c r="Q149" s="45">
        <f>DATE(YEAR(Tabla2[[#This Row],[Fecha de Recibido]]),MONTH(Tabla2[[#This Row],[Fecha de Recibido]]),1)</f>
        <v>45292</v>
      </c>
      <c r="R149" s="45" t="s">
        <v>63</v>
      </c>
    </row>
    <row r="150" spans="1:18" ht="37.5" customHeight="1">
      <c r="A150" s="63">
        <v>45293</v>
      </c>
      <c r="B150" s="42" t="s">
        <v>17</v>
      </c>
      <c r="C150" s="42" t="s">
        <v>337</v>
      </c>
      <c r="D150" s="60">
        <v>45328</v>
      </c>
      <c r="E150" s="60">
        <v>45328</v>
      </c>
      <c r="G150" s="43" t="s">
        <v>338</v>
      </c>
      <c r="H150" s="43"/>
      <c r="I150" s="43"/>
      <c r="J150" s="43" t="s">
        <v>3</v>
      </c>
      <c r="K150" s="43" t="s">
        <v>12</v>
      </c>
      <c r="L150" s="44" t="str">
        <f>IF(Tabla2[[#This Row],[Fecha de Resp]]&gt;Tabla2[[#This Row],[Fecha MAX de Resp]],"Retrasado",IF(Tabla2[[#This Row],[Fecha de Resp]]=0,"Pendiente",IF(Tabla2[[#This Row],[Fecha de Resp]]&lt;=Tabla2[[#This Row],[Fecha MAX de Resp]],"A Tiempo",0)))</f>
        <v>A Tiempo</v>
      </c>
      <c r="M150" s="43"/>
      <c r="N150" s="44"/>
      <c r="O150" s="48" t="b">
        <f>EXACT(Tabla2[[#This Row],[Fecha de Recibido]],Tabla2[[#This Row],[Fecha MAX de Resp]])</f>
        <v>0</v>
      </c>
      <c r="P150" s="48" t="b">
        <f>EXACT(Tabla2[[#This Row],[Fecha de Recibido]],Tabla2[[#This Row],[Fecha de Resp]])</f>
        <v>0</v>
      </c>
      <c r="Q150" s="45">
        <f>DATE(YEAR(Tabla2[[#This Row],[Fecha de Recibido]]),MONTH(Tabla2[[#This Row],[Fecha de Recibido]]),1)</f>
        <v>45292</v>
      </c>
      <c r="R150" s="45" t="s">
        <v>63</v>
      </c>
    </row>
    <row r="151" spans="1:18" ht="37.5" customHeight="1">
      <c r="A151" s="63">
        <v>45292</v>
      </c>
      <c r="B151" s="42" t="s">
        <v>32</v>
      </c>
      <c r="C151" s="42" t="s">
        <v>339</v>
      </c>
      <c r="D151" s="60">
        <v>45322</v>
      </c>
      <c r="E151" s="60">
        <v>45322</v>
      </c>
      <c r="G151" s="43" t="s">
        <v>340</v>
      </c>
      <c r="H151" s="43"/>
      <c r="I151" s="43"/>
      <c r="J151" s="43" t="s">
        <v>14</v>
      </c>
      <c r="K151" s="43" t="s">
        <v>18</v>
      </c>
      <c r="L151" s="44" t="str">
        <f>IF(Tabla2[[#This Row],[Fecha de Resp]]&gt;Tabla2[[#This Row],[Fecha MAX de Resp]],"Retrasado",IF(Tabla2[[#This Row],[Fecha de Resp]]=0,"Pendiente",IF(Tabla2[[#This Row],[Fecha de Resp]]&lt;=Tabla2[[#This Row],[Fecha MAX de Resp]],"A Tiempo",0)))</f>
        <v>A Tiempo</v>
      </c>
      <c r="M151" s="43"/>
      <c r="N151" s="44"/>
      <c r="O151" s="48" t="b">
        <f>EXACT(Tabla2[[#This Row],[Fecha de Recibido]],Tabla2[[#This Row],[Fecha MAX de Resp]])</f>
        <v>0</v>
      </c>
      <c r="P151" s="48" t="b">
        <f>EXACT(Tabla2[[#This Row],[Fecha de Recibido]],Tabla2[[#This Row],[Fecha de Resp]])</f>
        <v>0</v>
      </c>
      <c r="Q151" s="45">
        <f>DATE(YEAR(Tabla2[[#This Row],[Fecha de Recibido]]),MONTH(Tabla2[[#This Row],[Fecha de Recibido]]),1)</f>
        <v>45292</v>
      </c>
      <c r="R151" s="45" t="s">
        <v>63</v>
      </c>
    </row>
    <row r="152" spans="1:18" ht="37.5" customHeight="1">
      <c r="A152" s="63">
        <v>45292</v>
      </c>
      <c r="B152" s="42" t="s">
        <v>32</v>
      </c>
      <c r="C152" s="42" t="s">
        <v>339</v>
      </c>
      <c r="D152" s="60">
        <v>45322</v>
      </c>
      <c r="E152" s="60">
        <v>45322</v>
      </c>
      <c r="G152" s="43" t="s">
        <v>340</v>
      </c>
      <c r="H152" s="43"/>
      <c r="I152" s="43"/>
      <c r="J152" s="43" t="s">
        <v>11</v>
      </c>
      <c r="K152" s="43" t="s">
        <v>18</v>
      </c>
      <c r="L152" s="44" t="str">
        <f>IF(Tabla2[[#This Row],[Fecha de Resp]]&gt;Tabla2[[#This Row],[Fecha MAX de Resp]],"Retrasado",IF(Tabla2[[#This Row],[Fecha de Resp]]=0,"Pendiente",IF(Tabla2[[#This Row],[Fecha de Resp]]&lt;=Tabla2[[#This Row],[Fecha MAX de Resp]],"A Tiempo",0)))</f>
        <v>A Tiempo</v>
      </c>
      <c r="M152" s="43"/>
      <c r="N152" s="44"/>
      <c r="O152" s="48" t="b">
        <f>EXACT(Tabla2[[#This Row],[Fecha de Recibido]],Tabla2[[#This Row],[Fecha MAX de Resp]])</f>
        <v>0</v>
      </c>
      <c r="P152" s="48" t="b">
        <f>EXACT(Tabla2[[#This Row],[Fecha de Recibido]],Tabla2[[#This Row],[Fecha de Resp]])</f>
        <v>0</v>
      </c>
      <c r="Q152" s="45">
        <f>DATE(YEAR(Tabla2[[#This Row],[Fecha de Recibido]]),MONTH(Tabla2[[#This Row],[Fecha de Recibido]]),1)</f>
        <v>45292</v>
      </c>
      <c r="R152" s="45" t="s">
        <v>63</v>
      </c>
    </row>
    <row r="153" spans="1:18" ht="37.5" customHeight="1">
      <c r="A153" s="63">
        <v>45292</v>
      </c>
      <c r="B153" s="42" t="s">
        <v>32</v>
      </c>
      <c r="C153" s="42" t="s">
        <v>339</v>
      </c>
      <c r="D153" s="60">
        <v>45322</v>
      </c>
      <c r="E153" s="60">
        <v>45322</v>
      </c>
      <c r="G153" s="43" t="s">
        <v>341</v>
      </c>
      <c r="H153" s="43"/>
      <c r="I153" s="43"/>
      <c r="J153" s="43" t="s">
        <v>8</v>
      </c>
      <c r="K153" s="43" t="s">
        <v>18</v>
      </c>
      <c r="L153" s="44" t="str">
        <f>IF(Tabla2[[#This Row],[Fecha de Resp]]&gt;Tabla2[[#This Row],[Fecha MAX de Resp]],"Retrasado",IF(Tabla2[[#This Row],[Fecha de Resp]]=0,"Pendiente",IF(Tabla2[[#This Row],[Fecha de Resp]]&lt;=Tabla2[[#This Row],[Fecha MAX de Resp]],"A Tiempo",0)))</f>
        <v>A Tiempo</v>
      </c>
      <c r="M153" s="43"/>
      <c r="N153" s="44"/>
      <c r="O153" s="48" t="b">
        <f>EXACT(Tabla2[[#This Row],[Fecha de Recibido]],Tabla2[[#This Row],[Fecha MAX de Resp]])</f>
        <v>0</v>
      </c>
      <c r="P153" s="48" t="b">
        <f>EXACT(Tabla2[[#This Row],[Fecha de Recibido]],Tabla2[[#This Row],[Fecha de Resp]])</f>
        <v>0</v>
      </c>
      <c r="Q153" s="45">
        <f>DATE(YEAR(Tabla2[[#This Row],[Fecha de Recibido]]),MONTH(Tabla2[[#This Row],[Fecha de Recibido]]),1)</f>
        <v>45292</v>
      </c>
      <c r="R153" s="45" t="s">
        <v>63</v>
      </c>
    </row>
    <row r="154" spans="1:18" ht="37.5" customHeight="1">
      <c r="A154" s="63">
        <v>45292</v>
      </c>
      <c r="B154" s="42" t="s">
        <v>32</v>
      </c>
      <c r="C154" s="42" t="s">
        <v>339</v>
      </c>
      <c r="D154" s="60">
        <v>45322</v>
      </c>
      <c r="E154" s="60">
        <v>45322</v>
      </c>
      <c r="G154" s="43" t="s">
        <v>342</v>
      </c>
      <c r="H154" s="43"/>
      <c r="I154" s="43"/>
      <c r="J154" s="43" t="s">
        <v>3</v>
      </c>
      <c r="K154" s="43" t="s">
        <v>18</v>
      </c>
      <c r="L154" s="44" t="str">
        <f>IF(Tabla2[[#This Row],[Fecha de Resp]]&gt;Tabla2[[#This Row],[Fecha MAX de Resp]],"Retrasado",IF(Tabla2[[#This Row],[Fecha de Resp]]=0,"Pendiente",IF(Tabla2[[#This Row],[Fecha de Resp]]&lt;=Tabla2[[#This Row],[Fecha MAX de Resp]],"A Tiempo",0)))</f>
        <v>A Tiempo</v>
      </c>
      <c r="M154" s="43"/>
      <c r="N154" s="44"/>
      <c r="O154" s="48" t="b">
        <f>EXACT(Tabla2[[#This Row],[Fecha de Recibido]],Tabla2[[#This Row],[Fecha MAX de Resp]])</f>
        <v>0</v>
      </c>
      <c r="P154" s="48" t="b">
        <f>EXACT(Tabla2[[#This Row],[Fecha de Recibido]],Tabla2[[#This Row],[Fecha de Resp]])</f>
        <v>0</v>
      </c>
      <c r="Q154" s="45">
        <f>DATE(YEAR(Tabla2[[#This Row],[Fecha de Recibido]]),MONTH(Tabla2[[#This Row],[Fecha de Recibido]]),1)</f>
        <v>45292</v>
      </c>
      <c r="R154" s="45" t="s">
        <v>63</v>
      </c>
    </row>
    <row r="155" spans="1:18" ht="37.5" customHeight="1">
      <c r="A155" s="63">
        <v>45278</v>
      </c>
      <c r="B155" s="42" t="s">
        <v>17</v>
      </c>
      <c r="C155" s="42" t="s">
        <v>343</v>
      </c>
      <c r="D155" s="41">
        <v>45306</v>
      </c>
      <c r="E155" s="41">
        <v>45288</v>
      </c>
      <c r="G155" s="43" t="s">
        <v>344</v>
      </c>
      <c r="H155" s="43"/>
      <c r="I155" s="43" t="s">
        <v>345</v>
      </c>
      <c r="J155" s="43" t="s">
        <v>3</v>
      </c>
      <c r="K155" s="43" t="s">
        <v>12</v>
      </c>
      <c r="L155" s="44" t="str">
        <f>IF(Tabla2[[#This Row],[Fecha de Resp]]&gt;Tabla2[[#This Row],[Fecha MAX de Resp]],"Retrasado",IF(Tabla2[[#This Row],[Fecha de Resp]]=0,"Pendiente",IF(Tabla2[[#This Row],[Fecha de Resp]]&lt;=Tabla2[[#This Row],[Fecha MAX de Resp]],"A Tiempo",0)))</f>
        <v>A Tiempo</v>
      </c>
      <c r="M155" s="43"/>
      <c r="N155" s="44"/>
      <c r="O155" s="48" t="b">
        <f>EXACT(Tabla2[[#This Row],[Fecha de Recibido]],Tabla2[[#This Row],[Fecha MAX de Resp]])</f>
        <v>0</v>
      </c>
      <c r="P155" s="48" t="b">
        <f>EXACT(Tabla2[[#This Row],[Fecha de Recibido]],Tabla2[[#This Row],[Fecha de Resp]])</f>
        <v>0</v>
      </c>
      <c r="Q155" s="45">
        <f>DATE(YEAR(Tabla2[[#This Row],[Fecha de Recibido]]),MONTH(Tabla2[[#This Row],[Fecha de Recibido]]),1)</f>
        <v>45261</v>
      </c>
      <c r="R155" s="45" t="s">
        <v>63</v>
      </c>
    </row>
    <row r="156" spans="1:18" ht="37.5" customHeight="1">
      <c r="A156" s="63">
        <v>45278</v>
      </c>
      <c r="B156" s="42" t="s">
        <v>17</v>
      </c>
      <c r="C156" s="42" t="s">
        <v>346</v>
      </c>
      <c r="D156" s="41">
        <v>45296</v>
      </c>
      <c r="E156" s="41">
        <v>45296</v>
      </c>
      <c r="G156" s="43" t="s">
        <v>347</v>
      </c>
      <c r="H156" s="43" t="s">
        <v>348</v>
      </c>
      <c r="I156" s="43"/>
      <c r="J156" s="43" t="s">
        <v>3</v>
      </c>
      <c r="K156" s="43" t="s">
        <v>12</v>
      </c>
      <c r="L156" s="44" t="str">
        <f>IF(Tabla2[[#This Row],[Fecha de Resp]]&gt;Tabla2[[#This Row],[Fecha MAX de Resp]],"Retrasado",IF(Tabla2[[#This Row],[Fecha de Resp]]=0,"Pendiente",IF(Tabla2[[#This Row],[Fecha de Resp]]&lt;=Tabla2[[#This Row],[Fecha MAX de Resp]],"A Tiempo",0)))</f>
        <v>A Tiempo</v>
      </c>
      <c r="M156" s="43"/>
      <c r="N156" s="44"/>
      <c r="O156" s="48" t="b">
        <f>EXACT(Tabla2[[#This Row],[Fecha de Recibido]],Tabla2[[#This Row],[Fecha MAX de Resp]])</f>
        <v>0</v>
      </c>
      <c r="P156" s="48" t="b">
        <f>EXACT(Tabla2[[#This Row],[Fecha de Recibido]],Tabla2[[#This Row],[Fecha de Resp]])</f>
        <v>0</v>
      </c>
      <c r="Q156" s="45">
        <f>DATE(YEAR(Tabla2[[#This Row],[Fecha de Recibido]]),MONTH(Tabla2[[#This Row],[Fecha de Recibido]]),1)</f>
        <v>45261</v>
      </c>
      <c r="R156" s="45" t="s">
        <v>63</v>
      </c>
    </row>
    <row r="157" spans="1:18" ht="37.5" customHeight="1">
      <c r="A157" s="62">
        <v>45273</v>
      </c>
      <c r="B157" s="47" t="s">
        <v>32</v>
      </c>
      <c r="C157" s="42" t="s">
        <v>349</v>
      </c>
      <c r="D157" s="54">
        <v>45273</v>
      </c>
      <c r="E157" s="54">
        <v>45273</v>
      </c>
      <c r="F157" s="47"/>
      <c r="G157" s="43"/>
      <c r="H157" s="43" t="s">
        <v>350</v>
      </c>
      <c r="I157" s="43" t="s">
        <v>351</v>
      </c>
      <c r="J157" s="43" t="s">
        <v>14</v>
      </c>
      <c r="K157" s="47" t="s">
        <v>352</v>
      </c>
      <c r="L157" s="44" t="str">
        <f>IF(Tabla2[[#This Row],[Fecha de Resp]]&gt;Tabla2[[#This Row],[Fecha MAX de Resp]],"Retrasado",IF(Tabla2[[#This Row],[Fecha de Resp]]=0,"Pendiente",IF(Tabla2[[#This Row],[Fecha de Resp]]&lt;=Tabla2[[#This Row],[Fecha MAX de Resp]],"A Tiempo",0)))</f>
        <v>A Tiempo</v>
      </c>
      <c r="M157" s="47"/>
      <c r="N157" s="47"/>
      <c r="O157" s="48" t="b">
        <f>EXACT(Tabla2[[#This Row],[Fecha de Recibido]],Tabla2[[#This Row],[Fecha MAX de Resp]])</f>
        <v>1</v>
      </c>
      <c r="P157" s="48" t="b">
        <f>EXACT(Tabla2[[#This Row],[Fecha de Recibido]],Tabla2[[#This Row],[Fecha de Resp]])</f>
        <v>1</v>
      </c>
      <c r="Q157" s="45">
        <f>DATE(YEAR(Tabla2[[#This Row],[Fecha de Recibido]]),MONTH(Tabla2[[#This Row],[Fecha de Recibido]]),1)</f>
        <v>45261</v>
      </c>
      <c r="R157" s="45" t="s">
        <v>63</v>
      </c>
    </row>
    <row r="158" spans="1:18" ht="37.5" customHeight="1">
      <c r="A158" s="62">
        <v>45273</v>
      </c>
      <c r="B158" s="47" t="s">
        <v>32</v>
      </c>
      <c r="C158" s="42" t="s">
        <v>353</v>
      </c>
      <c r="D158" s="54">
        <v>45273</v>
      </c>
      <c r="E158" s="54">
        <v>45273</v>
      </c>
      <c r="F158" s="47"/>
      <c r="G158" s="43"/>
      <c r="H158" s="43" t="s">
        <v>354</v>
      </c>
      <c r="I158" s="43" t="s">
        <v>351</v>
      </c>
      <c r="J158" s="47" t="s">
        <v>11</v>
      </c>
      <c r="K158" s="47" t="s">
        <v>352</v>
      </c>
      <c r="L158" s="44" t="str">
        <f>IF(Tabla2[[#This Row],[Fecha de Resp]]&gt;Tabla2[[#This Row],[Fecha MAX de Resp]],"Retrasado",IF(Tabla2[[#This Row],[Fecha de Resp]]=0,"Pendiente",IF(Tabla2[[#This Row],[Fecha de Resp]]&lt;=Tabla2[[#This Row],[Fecha MAX de Resp]],"A Tiempo",0)))</f>
        <v>A Tiempo</v>
      </c>
      <c r="M158" s="47"/>
      <c r="N158" s="47"/>
      <c r="O158" s="48" t="b">
        <f>EXACT(Tabla2[[#This Row],[Fecha de Recibido]],Tabla2[[#This Row],[Fecha MAX de Resp]])</f>
        <v>1</v>
      </c>
      <c r="P158" s="48" t="b">
        <f>EXACT(Tabla2[[#This Row],[Fecha de Recibido]],Tabla2[[#This Row],[Fecha de Resp]])</f>
        <v>1</v>
      </c>
      <c r="Q158" s="45">
        <f>DATE(YEAR(Tabla2[[#This Row],[Fecha de Recibido]]),MONTH(Tabla2[[#This Row],[Fecha de Recibido]]),1)</f>
        <v>45261</v>
      </c>
      <c r="R158" s="45" t="s">
        <v>63</v>
      </c>
    </row>
    <row r="159" spans="1:18" ht="37.5" customHeight="1">
      <c r="A159" s="62">
        <v>45273</v>
      </c>
      <c r="B159" s="47" t="s">
        <v>32</v>
      </c>
      <c r="C159" s="42" t="s">
        <v>355</v>
      </c>
      <c r="D159" s="54"/>
      <c r="E159" s="54">
        <v>45273</v>
      </c>
      <c r="F159" s="47"/>
      <c r="G159" s="43"/>
      <c r="H159" s="43" t="s">
        <v>356</v>
      </c>
      <c r="I159" s="43" t="s">
        <v>351</v>
      </c>
      <c r="J159" s="43" t="s">
        <v>3</v>
      </c>
      <c r="K159" s="47" t="s">
        <v>352</v>
      </c>
      <c r="L159" s="44" t="str">
        <f>IF(Tabla2[[#This Row],[Fecha de Resp]]&gt;Tabla2[[#This Row],[Fecha MAX de Resp]],"Retrasado",IF(Tabla2[[#This Row],[Fecha de Resp]]=0,"Pendiente",IF(Tabla2[[#This Row],[Fecha de Resp]]&lt;=Tabla2[[#This Row],[Fecha MAX de Resp]],"A Tiempo",0)))</f>
        <v>Retrasado</v>
      </c>
      <c r="M159" s="47"/>
      <c r="N159" s="47"/>
      <c r="O159" s="48" t="b">
        <f>EXACT(Tabla2[[#This Row],[Fecha de Recibido]],Tabla2[[#This Row],[Fecha MAX de Resp]])</f>
        <v>0</v>
      </c>
      <c r="P159" s="48" t="b">
        <f>EXACT(Tabla2[[#This Row],[Fecha de Recibido]],Tabla2[[#This Row],[Fecha de Resp]])</f>
        <v>1</v>
      </c>
      <c r="Q159" s="45">
        <f>DATE(YEAR(Tabla2[[#This Row],[Fecha de Recibido]]),MONTH(Tabla2[[#This Row],[Fecha de Recibido]]),1)</f>
        <v>45261</v>
      </c>
      <c r="R159" s="45" t="s">
        <v>63</v>
      </c>
    </row>
    <row r="160" spans="1:18" ht="37.5" customHeight="1">
      <c r="A160" s="62">
        <v>45267</v>
      </c>
      <c r="B160" s="47" t="s">
        <v>32</v>
      </c>
      <c r="C160" s="42" t="s">
        <v>357</v>
      </c>
      <c r="D160" s="54">
        <v>45282</v>
      </c>
      <c r="E160" s="54">
        <v>45280</v>
      </c>
      <c r="F160" s="47"/>
      <c r="G160" s="43" t="s">
        <v>358</v>
      </c>
      <c r="H160" s="43" t="s">
        <v>359</v>
      </c>
      <c r="I160" s="47"/>
      <c r="J160" s="43" t="s">
        <v>3</v>
      </c>
      <c r="K160" s="47" t="s">
        <v>360</v>
      </c>
      <c r="L160" s="44" t="str">
        <f>IF(Tabla2[[#This Row],[Fecha de Resp]]&gt;Tabla2[[#This Row],[Fecha MAX de Resp]],"Retrasado",IF(Tabla2[[#This Row],[Fecha de Resp]]=0,"Pendiente",IF(Tabla2[[#This Row],[Fecha de Resp]]&lt;=Tabla2[[#This Row],[Fecha MAX de Resp]],"A Tiempo",0)))</f>
        <v>A Tiempo</v>
      </c>
      <c r="M160" s="47"/>
      <c r="N160" s="47"/>
      <c r="O160" s="48" t="b">
        <f>EXACT(Tabla2[[#This Row],[Fecha de Recibido]],Tabla2[[#This Row],[Fecha MAX de Resp]])</f>
        <v>0</v>
      </c>
      <c r="P160" s="48" t="b">
        <f>EXACT(Tabla2[[#This Row],[Fecha de Recibido]],Tabla2[[#This Row],[Fecha de Resp]])</f>
        <v>0</v>
      </c>
      <c r="Q160" s="45">
        <f>DATE(YEAR(Tabla2[[#This Row],[Fecha de Recibido]]),MONTH(Tabla2[[#This Row],[Fecha de Recibido]]),1)</f>
        <v>45261</v>
      </c>
      <c r="R160" s="45" t="s">
        <v>63</v>
      </c>
    </row>
    <row r="161" spans="1:18" ht="37.5" customHeight="1">
      <c r="A161" s="63">
        <v>45260</v>
      </c>
      <c r="B161" s="42" t="s">
        <v>17</v>
      </c>
      <c r="C161" s="42" t="s">
        <v>146</v>
      </c>
      <c r="D161" s="60">
        <v>45342</v>
      </c>
      <c r="E161" s="60">
        <v>45342</v>
      </c>
      <c r="G161" s="43" t="s">
        <v>147</v>
      </c>
      <c r="H161" s="43"/>
      <c r="I161" s="43"/>
      <c r="J161" s="43" t="s">
        <v>14</v>
      </c>
      <c r="K161" s="43" t="s">
        <v>21</v>
      </c>
      <c r="L161" s="44" t="str">
        <f>IF(Tabla2[[#This Row],[Fecha de Resp]]&gt;Tabla2[[#This Row],[Fecha MAX de Resp]],"Retrasado",IF(Tabla2[[#This Row],[Fecha de Resp]]=0,"Pendiente",IF(Tabla2[[#This Row],[Fecha de Resp]]&lt;=Tabla2[[#This Row],[Fecha MAX de Resp]],"A Tiempo",0)))</f>
        <v>A Tiempo</v>
      </c>
      <c r="M161" s="43"/>
      <c r="N161" s="44"/>
      <c r="O161" s="48" t="b">
        <f>EXACT(Tabla2[[#This Row],[Fecha de Recibido]],Tabla2[[#This Row],[Fecha MAX de Resp]])</f>
        <v>0</v>
      </c>
      <c r="P161" s="48" t="b">
        <f>EXACT(Tabla2[[#This Row],[Fecha de Recibido]],Tabla2[[#This Row],[Fecha de Resp]])</f>
        <v>0</v>
      </c>
      <c r="Q161" s="45">
        <f>DATE(YEAR(Tabla2[[#This Row],[Fecha de Recibido]]),MONTH(Tabla2[[#This Row],[Fecha de Recibido]]),1)</f>
        <v>45231</v>
      </c>
      <c r="R161" s="45" t="s">
        <v>63</v>
      </c>
    </row>
    <row r="162" spans="1:18" ht="37.5" customHeight="1">
      <c r="A162" s="63">
        <v>45260</v>
      </c>
      <c r="B162" s="42" t="s">
        <v>17</v>
      </c>
      <c r="C162" s="42" t="s">
        <v>148</v>
      </c>
      <c r="D162" s="60">
        <v>45342</v>
      </c>
      <c r="E162" s="60">
        <v>45342</v>
      </c>
      <c r="G162" s="43" t="s">
        <v>149</v>
      </c>
      <c r="H162" s="43"/>
      <c r="I162" s="43"/>
      <c r="J162" s="43" t="s">
        <v>11</v>
      </c>
      <c r="K162" s="43" t="s">
        <v>21</v>
      </c>
      <c r="L162" s="44" t="str">
        <f>IF(Tabla2[[#This Row],[Fecha de Resp]]&gt;Tabla2[[#This Row],[Fecha MAX de Resp]],"Retrasado",IF(Tabla2[[#This Row],[Fecha de Resp]]=0,"Pendiente",IF(Tabla2[[#This Row],[Fecha de Resp]]&lt;=Tabla2[[#This Row],[Fecha MAX de Resp]],"A Tiempo",0)))</f>
        <v>A Tiempo</v>
      </c>
      <c r="M162" s="43"/>
      <c r="N162" s="44"/>
      <c r="O162" s="48" t="b">
        <f>EXACT(Tabla2[[#This Row],[Fecha de Recibido]],Tabla2[[#This Row],[Fecha MAX de Resp]])</f>
        <v>0</v>
      </c>
      <c r="P162" s="48" t="b">
        <f>EXACT(Tabla2[[#This Row],[Fecha de Recibido]],Tabla2[[#This Row],[Fecha de Resp]])</f>
        <v>0</v>
      </c>
      <c r="Q162" s="45">
        <f>DATE(YEAR(Tabla2[[#This Row],[Fecha de Recibido]]),MONTH(Tabla2[[#This Row],[Fecha de Recibido]]),1)</f>
        <v>45231</v>
      </c>
      <c r="R162" s="45" t="s">
        <v>63</v>
      </c>
    </row>
    <row r="163" spans="1:18" ht="37.5" customHeight="1">
      <c r="A163" s="63">
        <v>45260</v>
      </c>
      <c r="B163" s="42" t="s">
        <v>17</v>
      </c>
      <c r="C163" s="42" t="s">
        <v>150</v>
      </c>
      <c r="D163" s="60">
        <v>45342</v>
      </c>
      <c r="E163" s="60">
        <v>45342</v>
      </c>
      <c r="G163" s="43" t="s">
        <v>151</v>
      </c>
      <c r="H163" s="43"/>
      <c r="I163" s="43"/>
      <c r="J163" s="43" t="s">
        <v>8</v>
      </c>
      <c r="K163" s="43" t="s">
        <v>21</v>
      </c>
      <c r="L163" s="44" t="str">
        <f>IF(Tabla2[[#This Row],[Fecha de Resp]]&gt;Tabla2[[#This Row],[Fecha MAX de Resp]],"Retrasado",IF(Tabla2[[#This Row],[Fecha de Resp]]=0,"Pendiente",IF(Tabla2[[#This Row],[Fecha de Resp]]&lt;=Tabla2[[#This Row],[Fecha MAX de Resp]],"A Tiempo",0)))</f>
        <v>A Tiempo</v>
      </c>
      <c r="M163" s="43"/>
      <c r="N163" s="44"/>
      <c r="O163" s="48" t="b">
        <f>EXACT(Tabla2[[#This Row],[Fecha de Recibido]],Tabla2[[#This Row],[Fecha MAX de Resp]])</f>
        <v>0</v>
      </c>
      <c r="P163" s="48" t="b">
        <f>EXACT(Tabla2[[#This Row],[Fecha de Recibido]],Tabla2[[#This Row],[Fecha de Resp]])</f>
        <v>0</v>
      </c>
      <c r="Q163" s="45">
        <f>DATE(YEAR(Tabla2[[#This Row],[Fecha de Recibido]]),MONTH(Tabla2[[#This Row],[Fecha de Recibido]]),1)</f>
        <v>45231</v>
      </c>
      <c r="R163" s="45" t="s">
        <v>63</v>
      </c>
    </row>
    <row r="164" spans="1:18" ht="37.5" customHeight="1">
      <c r="A164" s="63">
        <v>45260</v>
      </c>
      <c r="B164" s="42" t="s">
        <v>17</v>
      </c>
      <c r="C164" s="42" t="s">
        <v>152</v>
      </c>
      <c r="D164" s="60">
        <v>45342</v>
      </c>
      <c r="E164" s="60">
        <v>45342</v>
      </c>
      <c r="G164" s="43" t="s">
        <v>361</v>
      </c>
      <c r="H164" s="43"/>
      <c r="I164" s="43"/>
      <c r="J164" s="43" t="s">
        <v>3</v>
      </c>
      <c r="K164" s="43" t="s">
        <v>21</v>
      </c>
      <c r="L164" s="44" t="str">
        <f>IF(Tabla2[[#This Row],[Fecha de Resp]]&gt;Tabla2[[#This Row],[Fecha MAX de Resp]],"Retrasado",IF(Tabla2[[#This Row],[Fecha de Resp]]=0,"Pendiente",IF(Tabla2[[#This Row],[Fecha de Resp]]&lt;=Tabla2[[#This Row],[Fecha MAX de Resp]],"A Tiempo",0)))</f>
        <v>A Tiempo</v>
      </c>
      <c r="M164" s="43"/>
      <c r="N164" s="44"/>
      <c r="O164" s="48" t="b">
        <f>EXACT(Tabla2[[#This Row],[Fecha de Recibido]],Tabla2[[#This Row],[Fecha MAX de Resp]])</f>
        <v>0</v>
      </c>
      <c r="P164" s="48" t="b">
        <f>EXACT(Tabla2[[#This Row],[Fecha de Recibido]],Tabla2[[#This Row],[Fecha de Resp]])</f>
        <v>0</v>
      </c>
      <c r="Q164" s="45">
        <f>DATE(YEAR(Tabla2[[#This Row],[Fecha de Recibido]]),MONTH(Tabla2[[#This Row],[Fecha de Recibido]]),1)</f>
        <v>45231</v>
      </c>
      <c r="R164" s="45" t="s">
        <v>63</v>
      </c>
    </row>
    <row r="165" spans="1:18" ht="37.5" customHeight="1">
      <c r="A165" s="63">
        <v>45258</v>
      </c>
      <c r="B165" s="42" t="s">
        <v>17</v>
      </c>
      <c r="C165" s="42" t="s">
        <v>362</v>
      </c>
      <c r="D165" s="41">
        <v>45258</v>
      </c>
      <c r="E165" s="41">
        <v>45258</v>
      </c>
      <c r="G165" s="43" t="s">
        <v>363</v>
      </c>
      <c r="H165" s="43" t="s">
        <v>363</v>
      </c>
      <c r="I165" s="43"/>
      <c r="J165" s="43" t="s">
        <v>3</v>
      </c>
      <c r="K165" s="43" t="s">
        <v>9</v>
      </c>
      <c r="L165" s="44" t="str">
        <f>IF(Tabla2[[#This Row],[Fecha de Resp]]&gt;Tabla2[[#This Row],[Fecha MAX de Resp]],"Retrasado",IF(Tabla2[[#This Row],[Fecha de Resp]]=0,"Pendiente",IF(Tabla2[[#This Row],[Fecha de Resp]]&lt;=Tabla2[[#This Row],[Fecha MAX de Resp]],"A Tiempo",0)))</f>
        <v>A Tiempo</v>
      </c>
      <c r="M165" s="43"/>
      <c r="N165" s="44"/>
      <c r="O165" s="48" t="b">
        <f>EXACT(Tabla2[[#This Row],[Fecha de Recibido]],Tabla2[[#This Row],[Fecha MAX de Resp]])</f>
        <v>1</v>
      </c>
      <c r="P165" s="48" t="b">
        <f>EXACT(Tabla2[[#This Row],[Fecha de Recibido]],Tabla2[[#This Row],[Fecha de Resp]])</f>
        <v>1</v>
      </c>
      <c r="Q165" s="45">
        <f>DATE(YEAR(Tabla2[[#This Row],[Fecha de Recibido]]),MONTH(Tabla2[[#This Row],[Fecha de Recibido]]),1)</f>
        <v>45231</v>
      </c>
      <c r="R165" s="45" t="s">
        <v>63</v>
      </c>
    </row>
    <row r="166" spans="1:18" ht="37.5" customHeight="1">
      <c r="A166" s="62">
        <v>45257</v>
      </c>
      <c r="B166" s="47" t="s">
        <v>30</v>
      </c>
      <c r="C166" s="42" t="s">
        <v>364</v>
      </c>
      <c r="D166" s="54">
        <v>45261</v>
      </c>
      <c r="E166" s="54">
        <v>45258</v>
      </c>
      <c r="F166" s="47"/>
      <c r="G166" s="43" t="s">
        <v>365</v>
      </c>
      <c r="H166" s="43" t="s">
        <v>365</v>
      </c>
      <c r="I166" s="43" t="s">
        <v>366</v>
      </c>
      <c r="J166" s="43" t="s">
        <v>3</v>
      </c>
      <c r="K166" s="47" t="s">
        <v>12</v>
      </c>
      <c r="L166" s="44" t="str">
        <f>IF(Tabla2[[#This Row],[Fecha de Resp]]&gt;Tabla2[[#This Row],[Fecha MAX de Resp]],"Retrasado",IF(Tabla2[[#This Row],[Fecha de Resp]]=0,"Pendiente",IF(Tabla2[[#This Row],[Fecha de Resp]]&lt;=Tabla2[[#This Row],[Fecha MAX de Resp]],"A Tiempo",0)))</f>
        <v>A Tiempo</v>
      </c>
      <c r="M166" s="47"/>
      <c r="N166" s="47"/>
      <c r="O166" s="48" t="b">
        <f>EXACT(Tabla2[[#This Row],[Fecha de Recibido]],Tabla2[[#This Row],[Fecha MAX de Resp]])</f>
        <v>0</v>
      </c>
      <c r="P166" s="48" t="b">
        <f>EXACT(Tabla2[[#This Row],[Fecha de Recibido]],Tabla2[[#This Row],[Fecha de Resp]])</f>
        <v>0</v>
      </c>
      <c r="Q166" s="45">
        <f>DATE(YEAR(Tabla2[[#This Row],[Fecha de Recibido]]),MONTH(Tabla2[[#This Row],[Fecha de Recibido]]),1)</f>
        <v>45231</v>
      </c>
      <c r="R166" s="45" t="s">
        <v>63</v>
      </c>
    </row>
    <row r="167" spans="1:18" ht="37.5" customHeight="1">
      <c r="A167" s="62">
        <v>45257</v>
      </c>
      <c r="B167" s="47" t="s">
        <v>30</v>
      </c>
      <c r="C167" s="42" t="s">
        <v>367</v>
      </c>
      <c r="D167" s="54">
        <v>45261</v>
      </c>
      <c r="E167" s="54">
        <v>45258</v>
      </c>
      <c r="F167" s="47"/>
      <c r="G167" s="43" t="s">
        <v>368</v>
      </c>
      <c r="H167" s="43" t="s">
        <v>368</v>
      </c>
      <c r="I167" s="43" t="s">
        <v>366</v>
      </c>
      <c r="J167" s="43" t="s">
        <v>14</v>
      </c>
      <c r="K167" s="47" t="s">
        <v>12</v>
      </c>
      <c r="L167" s="44" t="str">
        <f>IF(Tabla2[[#This Row],[Fecha de Resp]]&gt;Tabla2[[#This Row],[Fecha MAX de Resp]],"Retrasado",IF(Tabla2[[#This Row],[Fecha de Resp]]=0,"Pendiente",IF(Tabla2[[#This Row],[Fecha de Resp]]&lt;=Tabla2[[#This Row],[Fecha MAX de Resp]],"A Tiempo",0)))</f>
        <v>A Tiempo</v>
      </c>
      <c r="M167" s="47"/>
      <c r="N167" s="47"/>
      <c r="O167" s="48" t="b">
        <f>EXACT(Tabla2[[#This Row],[Fecha de Recibido]],Tabla2[[#This Row],[Fecha MAX de Resp]])</f>
        <v>0</v>
      </c>
      <c r="P167" s="48" t="b">
        <f>EXACT(Tabla2[[#This Row],[Fecha de Recibido]],Tabla2[[#This Row],[Fecha de Resp]])</f>
        <v>0</v>
      </c>
      <c r="Q167" s="45">
        <f>DATE(YEAR(Tabla2[[#This Row],[Fecha de Recibido]]),MONTH(Tabla2[[#This Row],[Fecha de Recibido]]),1)</f>
        <v>45231</v>
      </c>
      <c r="R167" s="45" t="s">
        <v>63</v>
      </c>
    </row>
    <row r="168" spans="1:18" ht="37.5" customHeight="1">
      <c r="A168" s="62">
        <v>45257</v>
      </c>
      <c r="B168" s="47" t="s">
        <v>30</v>
      </c>
      <c r="C168" s="42" t="s">
        <v>369</v>
      </c>
      <c r="D168" s="54">
        <v>45261</v>
      </c>
      <c r="E168" s="54">
        <v>45258</v>
      </c>
      <c r="F168" s="47"/>
      <c r="G168" s="43" t="s">
        <v>370</v>
      </c>
      <c r="H168" s="43" t="s">
        <v>370</v>
      </c>
      <c r="I168" s="43" t="s">
        <v>366</v>
      </c>
      <c r="J168" s="43" t="s">
        <v>11</v>
      </c>
      <c r="K168" s="47" t="s">
        <v>12</v>
      </c>
      <c r="L168" s="44" t="str">
        <f>IF(Tabla2[[#This Row],[Fecha de Resp]]&gt;Tabla2[[#This Row],[Fecha MAX de Resp]],"Retrasado",IF(Tabla2[[#This Row],[Fecha de Resp]]=0,"Pendiente",IF(Tabla2[[#This Row],[Fecha de Resp]]&lt;=Tabla2[[#This Row],[Fecha MAX de Resp]],"A Tiempo",0)))</f>
        <v>A Tiempo</v>
      </c>
      <c r="M168" s="47"/>
      <c r="N168" s="47"/>
      <c r="O168" s="48" t="b">
        <f>EXACT(Tabla2[[#This Row],[Fecha de Recibido]],Tabla2[[#This Row],[Fecha MAX de Resp]])</f>
        <v>0</v>
      </c>
      <c r="P168" s="48" t="b">
        <f>EXACT(Tabla2[[#This Row],[Fecha de Recibido]],Tabla2[[#This Row],[Fecha de Resp]])</f>
        <v>0</v>
      </c>
      <c r="Q168" s="45">
        <f>DATE(YEAR(Tabla2[[#This Row],[Fecha de Recibido]]),MONTH(Tabla2[[#This Row],[Fecha de Recibido]]),1)</f>
        <v>45231</v>
      </c>
      <c r="R168" s="45" t="s">
        <v>63</v>
      </c>
    </row>
    <row r="169" spans="1:18" ht="37.5" customHeight="1">
      <c r="A169" s="63">
        <v>45253</v>
      </c>
      <c r="B169" s="42" t="s">
        <v>17</v>
      </c>
      <c r="C169" s="42" t="s">
        <v>371</v>
      </c>
      <c r="D169" s="41">
        <v>45259</v>
      </c>
      <c r="E169" s="41">
        <v>45259</v>
      </c>
      <c r="G169" s="43" t="s">
        <v>372</v>
      </c>
      <c r="H169" s="43" t="s">
        <v>363</v>
      </c>
      <c r="I169" s="43"/>
      <c r="J169" s="43" t="s">
        <v>3</v>
      </c>
      <c r="K169" s="43" t="s">
        <v>19</v>
      </c>
      <c r="L169" s="44" t="str">
        <f>IF(Tabla2[[#This Row],[Fecha de Resp]]&gt;Tabla2[[#This Row],[Fecha MAX de Resp]],"Retrasado",IF(Tabla2[[#This Row],[Fecha de Resp]]=0,"Pendiente",IF(Tabla2[[#This Row],[Fecha de Resp]]&lt;=Tabla2[[#This Row],[Fecha MAX de Resp]],"A Tiempo",0)))</f>
        <v>A Tiempo</v>
      </c>
      <c r="M169" s="43"/>
      <c r="N169" s="44"/>
      <c r="O169" s="48" t="b">
        <f>EXACT(Tabla2[[#This Row],[Fecha de Recibido]],Tabla2[[#This Row],[Fecha MAX de Resp]])</f>
        <v>0</v>
      </c>
      <c r="P169" s="48" t="b">
        <f>EXACT(Tabla2[[#This Row],[Fecha de Recibido]],Tabla2[[#This Row],[Fecha de Resp]])</f>
        <v>0</v>
      </c>
      <c r="Q169" s="45">
        <f>DATE(YEAR(Tabla2[[#This Row],[Fecha de Recibido]]),MONTH(Tabla2[[#This Row],[Fecha de Recibido]]),1)</f>
        <v>45231</v>
      </c>
      <c r="R169" s="45" t="s">
        <v>63</v>
      </c>
    </row>
    <row r="170" spans="1:18" ht="37.5" customHeight="1">
      <c r="A170" s="63">
        <v>45253</v>
      </c>
      <c r="B170" s="42" t="s">
        <v>32</v>
      </c>
      <c r="C170" s="42" t="s">
        <v>373</v>
      </c>
      <c r="D170" s="41">
        <v>45260</v>
      </c>
      <c r="E170" s="41">
        <v>45260</v>
      </c>
      <c r="G170" s="43" t="s">
        <v>374</v>
      </c>
      <c r="H170" s="43" t="s">
        <v>374</v>
      </c>
      <c r="I170" s="43"/>
      <c r="J170" s="43" t="s">
        <v>8</v>
      </c>
      <c r="K170" s="43" t="s">
        <v>12</v>
      </c>
      <c r="L170" s="44" t="str">
        <f>IF(Tabla2[[#This Row],[Fecha de Resp]]&gt;Tabla2[[#This Row],[Fecha MAX de Resp]],"Retrasado",IF(Tabla2[[#This Row],[Fecha de Resp]]=0,"Pendiente",IF(Tabla2[[#This Row],[Fecha de Resp]]&lt;=Tabla2[[#This Row],[Fecha MAX de Resp]],"A Tiempo",0)))</f>
        <v>A Tiempo</v>
      </c>
      <c r="M170" s="43"/>
      <c r="N170" s="44"/>
      <c r="O170" s="48" t="b">
        <f>EXACT(Tabla2[[#This Row],[Fecha de Recibido]],Tabla2[[#This Row],[Fecha MAX de Resp]])</f>
        <v>0</v>
      </c>
      <c r="P170" s="48" t="b">
        <f>EXACT(Tabla2[[#This Row],[Fecha de Recibido]],Tabla2[[#This Row],[Fecha de Resp]])</f>
        <v>0</v>
      </c>
      <c r="Q170" s="45">
        <f>DATE(YEAR(Tabla2[[#This Row],[Fecha de Recibido]]),MONTH(Tabla2[[#This Row],[Fecha de Recibido]]),1)</f>
        <v>45231</v>
      </c>
      <c r="R170" s="45" t="s">
        <v>63</v>
      </c>
    </row>
    <row r="171" spans="1:18" ht="37.5" customHeight="1">
      <c r="A171" s="63">
        <v>45247</v>
      </c>
      <c r="B171" s="42" t="s">
        <v>17</v>
      </c>
      <c r="C171" s="42" t="s">
        <v>375</v>
      </c>
      <c r="D171" s="60">
        <v>45337</v>
      </c>
      <c r="E171" s="60">
        <v>45337</v>
      </c>
      <c r="G171" s="43" t="s">
        <v>376</v>
      </c>
      <c r="H171" s="43"/>
      <c r="I171" s="43"/>
      <c r="J171" s="43" t="s">
        <v>3</v>
      </c>
      <c r="K171" s="43" t="s">
        <v>18</v>
      </c>
      <c r="L171" s="44" t="str">
        <f>IF(Tabla2[[#This Row],[Fecha de Resp]]&gt;Tabla2[[#This Row],[Fecha MAX de Resp]],"Retrasado",IF(Tabla2[[#This Row],[Fecha de Resp]]=0,"Pendiente",IF(Tabla2[[#This Row],[Fecha de Resp]]&lt;=Tabla2[[#This Row],[Fecha MAX de Resp]],"A Tiempo",0)))</f>
        <v>A Tiempo</v>
      </c>
      <c r="M171" s="43"/>
      <c r="N171" s="44"/>
      <c r="O171" s="44" t="b">
        <f>EXACT(Tabla2[[#This Row],[Fecha de Recibido]],Tabla2[[#This Row],[Fecha MAX de Resp]])</f>
        <v>0</v>
      </c>
      <c r="P171" s="44" t="b">
        <f>EXACT(Tabla2[[#This Row],[Fecha de Recibido]],Tabla2[[#This Row],[Fecha de Resp]])</f>
        <v>0</v>
      </c>
      <c r="Q171" s="45">
        <f>DATE(YEAR(Tabla2[[#This Row],[Fecha de Recibido]]),MONTH(Tabla2[[#This Row],[Fecha de Recibido]]),1)</f>
        <v>45231</v>
      </c>
      <c r="R171" s="45" t="s">
        <v>63</v>
      </c>
    </row>
    <row r="172" spans="1:18" ht="37.5" customHeight="1">
      <c r="A172" s="63">
        <v>45247</v>
      </c>
      <c r="B172" s="42" t="s">
        <v>17</v>
      </c>
      <c r="C172" s="42" t="s">
        <v>377</v>
      </c>
      <c r="D172" s="60">
        <v>45321</v>
      </c>
      <c r="E172" s="60">
        <v>45321</v>
      </c>
      <c r="G172" s="43" t="s">
        <v>378</v>
      </c>
      <c r="H172" s="43"/>
      <c r="I172" s="43"/>
      <c r="J172" s="43" t="s">
        <v>3</v>
      </c>
      <c r="K172" s="43" t="s">
        <v>12</v>
      </c>
      <c r="L172" s="44" t="str">
        <f>IF(Tabla2[[#This Row],[Fecha de Resp]]&gt;Tabla2[[#This Row],[Fecha MAX de Resp]],"Retrasado",IF(Tabla2[[#This Row],[Fecha de Resp]]=0,"Pendiente",IF(Tabla2[[#This Row],[Fecha de Resp]]&lt;=Tabla2[[#This Row],[Fecha MAX de Resp]],"A Tiempo",0)))</f>
        <v>A Tiempo</v>
      </c>
      <c r="M172" s="43"/>
      <c r="N172" s="44"/>
      <c r="O172" s="44" t="b">
        <f>EXACT(Tabla2[[#This Row],[Fecha de Recibido]],Tabla2[[#This Row],[Fecha MAX de Resp]])</f>
        <v>0</v>
      </c>
      <c r="P172" s="44" t="b">
        <f>EXACT(Tabla2[[#This Row],[Fecha de Recibido]],Tabla2[[#This Row],[Fecha de Resp]])</f>
        <v>0</v>
      </c>
      <c r="Q172" s="45">
        <f>DATE(YEAR(Tabla2[[#This Row],[Fecha de Recibido]]),MONTH(Tabla2[[#This Row],[Fecha de Recibido]]),1)</f>
        <v>45231</v>
      </c>
      <c r="R172" s="45" t="s">
        <v>63</v>
      </c>
    </row>
    <row r="173" spans="1:18" ht="37.5" customHeight="1">
      <c r="A173" s="63">
        <v>45247</v>
      </c>
      <c r="B173" s="42" t="s">
        <v>17</v>
      </c>
      <c r="C173" s="42" t="s">
        <v>375</v>
      </c>
      <c r="D173" s="60">
        <v>45337</v>
      </c>
      <c r="E173" s="60">
        <v>45337</v>
      </c>
      <c r="G173" s="43" t="s">
        <v>379</v>
      </c>
      <c r="H173" s="43"/>
      <c r="I173" s="43"/>
      <c r="J173" s="43" t="s">
        <v>3</v>
      </c>
      <c r="K173" s="43" t="s">
        <v>12</v>
      </c>
      <c r="L173" s="44" t="str">
        <f>IF(Tabla2[[#This Row],[Fecha de Resp]]&gt;Tabla2[[#This Row],[Fecha MAX de Resp]],"Retrasado",IF(Tabla2[[#This Row],[Fecha de Resp]]=0,"Pendiente",IF(Tabla2[[#This Row],[Fecha de Resp]]&lt;=Tabla2[[#This Row],[Fecha MAX de Resp]],"A Tiempo",0)))</f>
        <v>A Tiempo</v>
      </c>
      <c r="M173" s="43"/>
      <c r="N173" s="44"/>
      <c r="O173" s="48" t="b">
        <f>EXACT(Tabla2[[#This Row],[Fecha de Recibido]],Tabla2[[#This Row],[Fecha MAX de Resp]])</f>
        <v>0</v>
      </c>
      <c r="P173" s="48" t="b">
        <f>EXACT(Tabla2[[#This Row],[Fecha de Recibido]],Tabla2[[#This Row],[Fecha de Resp]])</f>
        <v>0</v>
      </c>
      <c r="Q173" s="45">
        <f>DATE(YEAR(Tabla2[[#This Row],[Fecha de Recibido]]),MONTH(Tabla2[[#This Row],[Fecha de Recibido]]),1)</f>
        <v>45231</v>
      </c>
      <c r="R173" s="45" t="s">
        <v>63</v>
      </c>
    </row>
    <row r="174" spans="1:18" ht="37.5" customHeight="1">
      <c r="A174" s="63">
        <v>45247</v>
      </c>
      <c r="B174" s="42" t="s">
        <v>17</v>
      </c>
      <c r="C174" s="42" t="s">
        <v>377</v>
      </c>
      <c r="D174" s="60">
        <v>45321</v>
      </c>
      <c r="E174" s="60">
        <v>45321</v>
      </c>
      <c r="G174" s="43" t="s">
        <v>378</v>
      </c>
      <c r="H174" s="43"/>
      <c r="I174" s="43"/>
      <c r="J174" s="43" t="s">
        <v>3</v>
      </c>
      <c r="K174" s="43" t="s">
        <v>12</v>
      </c>
      <c r="L174" s="44" t="str">
        <f>IF(Tabla2[[#This Row],[Fecha de Resp]]&gt;Tabla2[[#This Row],[Fecha MAX de Resp]],"Retrasado",IF(Tabla2[[#This Row],[Fecha de Resp]]=0,"Pendiente",IF(Tabla2[[#This Row],[Fecha de Resp]]&lt;=Tabla2[[#This Row],[Fecha MAX de Resp]],"A Tiempo",0)))</f>
        <v>A Tiempo</v>
      </c>
      <c r="M174" s="43"/>
      <c r="N174" s="44"/>
      <c r="O174" s="48" t="b">
        <f>EXACT(Tabla2[[#This Row],[Fecha de Recibido]],Tabla2[[#This Row],[Fecha MAX de Resp]])</f>
        <v>0</v>
      </c>
      <c r="P174" s="48" t="b">
        <f>EXACT(Tabla2[[#This Row],[Fecha de Recibido]],Tabla2[[#This Row],[Fecha de Resp]])</f>
        <v>0</v>
      </c>
      <c r="Q174" s="45">
        <f>DATE(YEAR(Tabla2[[#This Row],[Fecha de Recibido]]),MONTH(Tabla2[[#This Row],[Fecha de Recibido]]),1)</f>
        <v>45231</v>
      </c>
      <c r="R174" s="45" t="s">
        <v>63</v>
      </c>
    </row>
    <row r="175" spans="1:18" ht="37.5" customHeight="1">
      <c r="A175" s="63">
        <v>45246</v>
      </c>
      <c r="B175" s="42" t="s">
        <v>32</v>
      </c>
      <c r="C175" s="42" t="s">
        <v>380</v>
      </c>
      <c r="D175" s="41">
        <v>45253</v>
      </c>
      <c r="E175" s="41">
        <v>45253</v>
      </c>
      <c r="G175" s="43" t="s">
        <v>381</v>
      </c>
      <c r="H175" s="43" t="s">
        <v>381</v>
      </c>
      <c r="I175" s="43" t="s">
        <v>382</v>
      </c>
      <c r="J175" s="43" t="s">
        <v>3</v>
      </c>
      <c r="K175" s="43" t="s">
        <v>9</v>
      </c>
      <c r="L175" s="44" t="str">
        <f>IF(Tabla2[[#This Row],[Fecha de Resp]]&gt;Tabla2[[#This Row],[Fecha MAX de Resp]],"Retrasado",IF(Tabla2[[#This Row],[Fecha de Resp]]=0,"Pendiente",IF(Tabla2[[#This Row],[Fecha de Resp]]&lt;=Tabla2[[#This Row],[Fecha MAX de Resp]],"A Tiempo",0)))</f>
        <v>A Tiempo</v>
      </c>
      <c r="M175" s="45">
        <v>45246</v>
      </c>
      <c r="N175" s="44" t="s">
        <v>383</v>
      </c>
      <c r="O175" s="48" t="b">
        <f>EXACT(Tabla2[[#This Row],[Fecha de Recibido]],Tabla2[[#This Row],[Fecha MAX de Resp]])</f>
        <v>0</v>
      </c>
      <c r="P175" s="48" t="b">
        <f>EXACT(Tabla2[[#This Row],[Fecha de Recibido]],Tabla2[[#This Row],[Fecha de Resp]])</f>
        <v>0</v>
      </c>
      <c r="Q175" s="45">
        <f>DATE(YEAR(Tabla2[[#This Row],[Fecha de Recibido]]),MONTH(Tabla2[[#This Row],[Fecha de Recibido]]),1)</f>
        <v>45231</v>
      </c>
      <c r="R175" s="45" t="s">
        <v>63</v>
      </c>
    </row>
    <row r="176" spans="1:18" ht="37.5" customHeight="1">
      <c r="A176" s="62">
        <v>45246</v>
      </c>
      <c r="B176" s="47" t="s">
        <v>32</v>
      </c>
      <c r="C176" s="42" t="s">
        <v>384</v>
      </c>
      <c r="D176" s="58">
        <v>45246</v>
      </c>
      <c r="E176" s="58">
        <v>45246</v>
      </c>
      <c r="F176" s="47"/>
      <c r="G176" s="43" t="s">
        <v>385</v>
      </c>
      <c r="H176" s="43" t="s">
        <v>386</v>
      </c>
      <c r="I176" s="43" t="s">
        <v>387</v>
      </c>
      <c r="J176" s="43" t="s">
        <v>14</v>
      </c>
      <c r="K176" s="47" t="s">
        <v>4</v>
      </c>
      <c r="L176" s="44" t="str">
        <f>IF(Tabla2[[#This Row],[Fecha de Resp]]&gt;Tabla2[[#This Row],[Fecha MAX de Resp]],"Retrasado",IF(Tabla2[[#This Row],[Fecha de Resp]]=0,"Pendiente",IF(Tabla2[[#This Row],[Fecha de Resp]]&lt;=Tabla2[[#This Row],[Fecha MAX de Resp]],"A Tiempo",0)))</f>
        <v>A Tiempo</v>
      </c>
      <c r="M176" s="56"/>
      <c r="N176" s="43" t="s">
        <v>388</v>
      </c>
      <c r="O176" s="48" t="b">
        <f>EXACT(Tabla2[[#This Row],[Fecha de Recibido]],Tabla2[[#This Row],[Fecha MAX de Resp]])</f>
        <v>1</v>
      </c>
      <c r="P176" s="48" t="b">
        <f>EXACT(Tabla2[[#This Row],[Fecha de Recibido]],Tabla2[[#This Row],[Fecha de Resp]])</f>
        <v>1</v>
      </c>
      <c r="Q176" s="45">
        <f>DATE(YEAR(Tabla2[[#This Row],[Fecha de Recibido]]),MONTH(Tabla2[[#This Row],[Fecha de Recibido]]),1)</f>
        <v>45231</v>
      </c>
      <c r="R176" s="45" t="s">
        <v>63</v>
      </c>
    </row>
    <row r="177" spans="1:18" ht="37.5" customHeight="1">
      <c r="A177" s="62">
        <v>45246</v>
      </c>
      <c r="B177" s="47" t="s">
        <v>32</v>
      </c>
      <c r="C177" s="42" t="s">
        <v>389</v>
      </c>
      <c r="D177" s="58">
        <v>45246</v>
      </c>
      <c r="E177" s="58">
        <v>45246</v>
      </c>
      <c r="F177" s="47"/>
      <c r="G177" s="43" t="s">
        <v>390</v>
      </c>
      <c r="H177" s="43" t="s">
        <v>391</v>
      </c>
      <c r="I177" s="43" t="s">
        <v>387</v>
      </c>
      <c r="J177" s="43" t="s">
        <v>11</v>
      </c>
      <c r="K177" s="47" t="s">
        <v>19</v>
      </c>
      <c r="L177" s="44" t="str">
        <f>IF(Tabla2[[#This Row],[Fecha de Resp]]&gt;Tabla2[[#This Row],[Fecha MAX de Resp]],"Retrasado",IF(Tabla2[[#This Row],[Fecha de Resp]]=0,"Pendiente",IF(Tabla2[[#This Row],[Fecha de Resp]]&lt;=Tabla2[[#This Row],[Fecha MAX de Resp]],"A Tiempo",0)))</f>
        <v>A Tiempo</v>
      </c>
      <c r="M177" s="56"/>
      <c r="N177" s="43" t="s">
        <v>392</v>
      </c>
      <c r="O177" s="48" t="b">
        <f>EXACT(Tabla2[[#This Row],[Fecha de Recibido]],Tabla2[[#This Row],[Fecha MAX de Resp]])</f>
        <v>1</v>
      </c>
      <c r="P177" s="48" t="b">
        <f>EXACT(Tabla2[[#This Row],[Fecha de Recibido]],Tabla2[[#This Row],[Fecha de Resp]])</f>
        <v>1</v>
      </c>
      <c r="Q177" s="45">
        <f>DATE(YEAR(Tabla2[[#This Row],[Fecha de Recibido]]),MONTH(Tabla2[[#This Row],[Fecha de Recibido]]),1)</f>
        <v>45231</v>
      </c>
      <c r="R177" s="45" t="s">
        <v>63</v>
      </c>
    </row>
    <row r="178" spans="1:18" ht="37.5" customHeight="1">
      <c r="A178" s="62">
        <v>45246</v>
      </c>
      <c r="B178" s="47" t="s">
        <v>32</v>
      </c>
      <c r="C178" s="42" t="s">
        <v>393</v>
      </c>
      <c r="D178" s="58">
        <v>45246</v>
      </c>
      <c r="E178" s="58">
        <v>45246</v>
      </c>
      <c r="F178" s="47"/>
      <c r="G178" s="43" t="s">
        <v>394</v>
      </c>
      <c r="H178" s="43" t="s">
        <v>395</v>
      </c>
      <c r="I178" s="43" t="s">
        <v>387</v>
      </c>
      <c r="J178" s="43" t="s">
        <v>3</v>
      </c>
      <c r="K178" s="47" t="s">
        <v>19</v>
      </c>
      <c r="L178" s="44" t="str">
        <f>IF(Tabla2[[#This Row],[Fecha de Resp]]&gt;Tabla2[[#This Row],[Fecha MAX de Resp]],"Retrasado",IF(Tabla2[[#This Row],[Fecha de Resp]]=0,"Pendiente",IF(Tabla2[[#This Row],[Fecha de Resp]]&lt;=Tabla2[[#This Row],[Fecha MAX de Resp]],"A Tiempo",0)))</f>
        <v>A Tiempo</v>
      </c>
      <c r="M178" s="56"/>
      <c r="N178" s="43" t="s">
        <v>396</v>
      </c>
      <c r="O178" s="48" t="b">
        <f>EXACT(Tabla2[[#This Row],[Fecha de Recibido]],Tabla2[[#This Row],[Fecha MAX de Resp]])</f>
        <v>1</v>
      </c>
      <c r="P178" s="48" t="b">
        <f>EXACT(Tabla2[[#This Row],[Fecha de Recibido]],Tabla2[[#This Row],[Fecha de Resp]])</f>
        <v>1</v>
      </c>
      <c r="Q178" s="45">
        <f>DATE(YEAR(Tabla2[[#This Row],[Fecha de Recibido]]),MONTH(Tabla2[[#This Row],[Fecha de Recibido]]),1)</f>
        <v>45231</v>
      </c>
      <c r="R178" s="45" t="s">
        <v>63</v>
      </c>
    </row>
    <row r="179" spans="1:18" ht="37.5" customHeight="1">
      <c r="A179" s="63">
        <v>45245</v>
      </c>
      <c r="B179" s="42" t="s">
        <v>32</v>
      </c>
      <c r="C179" s="42" t="s">
        <v>397</v>
      </c>
      <c r="D179" s="41">
        <v>45253</v>
      </c>
      <c r="E179" s="41">
        <v>45253</v>
      </c>
      <c r="G179" s="43" t="s">
        <v>398</v>
      </c>
      <c r="H179" s="43"/>
      <c r="I179" s="43"/>
      <c r="J179" s="43" t="s">
        <v>3</v>
      </c>
      <c r="K179" s="43" t="s">
        <v>9</v>
      </c>
      <c r="L179" s="44" t="str">
        <f>IF(Tabla2[[#This Row],[Fecha de Resp]]&gt;Tabla2[[#This Row],[Fecha MAX de Resp]],"Retrasado",IF(Tabla2[[#This Row],[Fecha de Resp]]=0,"Pendiente",IF(Tabla2[[#This Row],[Fecha de Resp]]&lt;=Tabla2[[#This Row],[Fecha MAX de Resp]],"A Tiempo",0)))</f>
        <v>A Tiempo</v>
      </c>
      <c r="M179" s="43"/>
      <c r="N179" s="44"/>
      <c r="O179" s="48" t="b">
        <f>EXACT(Tabla2[[#This Row],[Fecha de Recibido]],Tabla2[[#This Row],[Fecha MAX de Resp]])</f>
        <v>0</v>
      </c>
      <c r="P179" s="48" t="b">
        <f>EXACT(Tabla2[[#This Row],[Fecha de Recibido]],Tabla2[[#This Row],[Fecha de Resp]])</f>
        <v>0</v>
      </c>
      <c r="Q179" s="45">
        <f>DATE(YEAR(Tabla2[[#This Row],[Fecha de Recibido]]),MONTH(Tabla2[[#This Row],[Fecha de Recibido]]),1)</f>
        <v>45231</v>
      </c>
      <c r="R179" s="45" t="s">
        <v>63</v>
      </c>
    </row>
    <row r="180" spans="1:18" ht="37.5" customHeight="1">
      <c r="A180" s="63">
        <v>45245</v>
      </c>
      <c r="B180" s="42" t="s">
        <v>17</v>
      </c>
      <c r="C180" s="42" t="s">
        <v>399</v>
      </c>
      <c r="D180" s="58">
        <v>45245</v>
      </c>
      <c r="E180" s="58">
        <v>45245</v>
      </c>
      <c r="G180" s="43" t="s">
        <v>400</v>
      </c>
      <c r="H180" s="43" t="s">
        <v>400</v>
      </c>
      <c r="I180" s="43"/>
      <c r="J180" s="43" t="s">
        <v>11</v>
      </c>
      <c r="K180" s="43" t="s">
        <v>12</v>
      </c>
      <c r="L180" s="44" t="str">
        <f>IF(Tabla2[[#This Row],[Fecha de Resp]]&gt;Tabla2[[#This Row],[Fecha MAX de Resp]],"Retrasado",IF(Tabla2[[#This Row],[Fecha de Resp]]=0,"Pendiente",IF(Tabla2[[#This Row],[Fecha de Resp]]&lt;=Tabla2[[#This Row],[Fecha MAX de Resp]],"A Tiempo",0)))</f>
        <v>A Tiempo</v>
      </c>
      <c r="M180" s="43"/>
      <c r="N180" s="44"/>
      <c r="O180" s="48" t="b">
        <f>EXACT(Tabla2[[#This Row],[Fecha de Recibido]],Tabla2[[#This Row],[Fecha MAX de Resp]])</f>
        <v>1</v>
      </c>
      <c r="P180" s="48" t="b">
        <f>EXACT(Tabla2[[#This Row],[Fecha de Recibido]],Tabla2[[#This Row],[Fecha de Resp]])</f>
        <v>1</v>
      </c>
      <c r="Q180" s="45">
        <f>DATE(YEAR(Tabla2[[#This Row],[Fecha de Recibido]]),MONTH(Tabla2[[#This Row],[Fecha de Recibido]]),1)</f>
        <v>45231</v>
      </c>
      <c r="R180" s="45" t="s">
        <v>63</v>
      </c>
    </row>
    <row r="181" spans="1:18" ht="37.5" customHeight="1">
      <c r="A181" s="63">
        <v>45244</v>
      </c>
      <c r="B181" s="42" t="s">
        <v>17</v>
      </c>
      <c r="C181" s="42" t="s">
        <v>401</v>
      </c>
      <c r="D181" s="41">
        <v>45246</v>
      </c>
      <c r="E181" s="41">
        <v>45246</v>
      </c>
      <c r="G181" s="43" t="s">
        <v>402</v>
      </c>
      <c r="H181" s="43" t="s">
        <v>403</v>
      </c>
      <c r="I181" s="43"/>
      <c r="J181" s="43" t="s">
        <v>3</v>
      </c>
      <c r="K181" s="43" t="s">
        <v>404</v>
      </c>
      <c r="L181" s="44" t="str">
        <f>IF(Tabla2[[#This Row],[Fecha de Resp]]&gt;Tabla2[[#This Row],[Fecha MAX de Resp]],"Retrasado",IF(Tabla2[[#This Row],[Fecha de Resp]]=0,"Pendiente",IF(Tabla2[[#This Row],[Fecha de Resp]]&lt;=Tabla2[[#This Row],[Fecha MAX de Resp]],"A Tiempo",0)))</f>
        <v>A Tiempo</v>
      </c>
      <c r="M181" s="43"/>
      <c r="N181" s="44"/>
      <c r="O181" s="48" t="b">
        <f>EXACT(Tabla2[[#This Row],[Fecha de Recibido]],Tabla2[[#This Row],[Fecha MAX de Resp]])</f>
        <v>0</v>
      </c>
      <c r="P181" s="48" t="b">
        <f>EXACT(Tabla2[[#This Row],[Fecha de Recibido]],Tabla2[[#This Row],[Fecha de Resp]])</f>
        <v>0</v>
      </c>
      <c r="Q181" s="45">
        <f>DATE(YEAR(Tabla2[[#This Row],[Fecha de Recibido]]),MONTH(Tabla2[[#This Row],[Fecha de Recibido]]),1)</f>
        <v>45231</v>
      </c>
      <c r="R181" s="45" t="s">
        <v>63</v>
      </c>
    </row>
    <row r="182" spans="1:18" ht="43.5" customHeight="1">
      <c r="A182" s="63">
        <v>45244</v>
      </c>
      <c r="B182" s="42" t="s">
        <v>17</v>
      </c>
      <c r="C182" s="42" t="s">
        <v>405</v>
      </c>
      <c r="D182" s="58">
        <v>45244</v>
      </c>
      <c r="E182" s="58">
        <v>45244</v>
      </c>
      <c r="G182" s="43" t="s">
        <v>406</v>
      </c>
      <c r="H182" s="43" t="s">
        <v>406</v>
      </c>
      <c r="I182" s="43" t="s">
        <v>407</v>
      </c>
      <c r="J182" s="43" t="s">
        <v>11</v>
      </c>
      <c r="K182" s="43" t="s">
        <v>12</v>
      </c>
      <c r="L182" s="44" t="str">
        <f>IF(Tabla2[[#This Row],[Fecha de Resp]]&gt;Tabla2[[#This Row],[Fecha MAX de Resp]],"Retrasado",IF(Tabla2[[#This Row],[Fecha de Resp]]=0,"Pendiente",IF(Tabla2[[#This Row],[Fecha de Resp]]&lt;=Tabla2[[#This Row],[Fecha MAX de Resp]],"A Tiempo",0)))</f>
        <v>A Tiempo</v>
      </c>
      <c r="M182" s="43"/>
      <c r="N182" s="44"/>
      <c r="O182" s="48" t="b">
        <f>EXACT(Tabla2[[#This Row],[Fecha de Recibido]],Tabla2[[#This Row],[Fecha MAX de Resp]])</f>
        <v>1</v>
      </c>
      <c r="P182" s="48" t="b">
        <f>EXACT(Tabla2[[#This Row],[Fecha de Recibido]],Tabla2[[#This Row],[Fecha de Resp]])</f>
        <v>1</v>
      </c>
      <c r="Q182" s="45">
        <f>DATE(YEAR(Tabla2[[#This Row],[Fecha de Recibido]]),MONTH(Tabla2[[#This Row],[Fecha de Recibido]]),1)</f>
        <v>45231</v>
      </c>
      <c r="R182" s="45" t="s">
        <v>63</v>
      </c>
    </row>
    <row r="183" spans="1:18" ht="37.5" customHeight="1">
      <c r="A183" s="63">
        <v>45244</v>
      </c>
      <c r="B183" s="42" t="s">
        <v>39</v>
      </c>
      <c r="C183" s="42" t="s">
        <v>408</v>
      </c>
      <c r="D183" s="41">
        <v>45254</v>
      </c>
      <c r="E183" s="41">
        <v>45254</v>
      </c>
      <c r="G183" s="43" t="s">
        <v>409</v>
      </c>
      <c r="H183" s="43"/>
      <c r="I183" s="43"/>
      <c r="J183" s="43" t="s">
        <v>3</v>
      </c>
      <c r="K183" s="43" t="s">
        <v>404</v>
      </c>
      <c r="L183" s="44" t="str">
        <f>IF(Tabla2[[#This Row],[Fecha de Resp]]&gt;Tabla2[[#This Row],[Fecha MAX de Resp]],"Retrasado",IF(Tabla2[[#This Row],[Fecha de Resp]]=0,"Pendiente",IF(Tabla2[[#This Row],[Fecha de Resp]]&lt;=Tabla2[[#This Row],[Fecha MAX de Resp]],"A Tiempo",0)))</f>
        <v>A Tiempo</v>
      </c>
      <c r="M183" s="43"/>
      <c r="N183" s="44"/>
      <c r="O183" s="48" t="b">
        <f>EXACT(Tabla2[[#This Row],[Fecha de Recibido]],Tabla2[[#This Row],[Fecha MAX de Resp]])</f>
        <v>0</v>
      </c>
      <c r="P183" s="48" t="b">
        <f>EXACT(Tabla2[[#This Row],[Fecha de Recibido]],Tabla2[[#This Row],[Fecha de Resp]])</f>
        <v>0</v>
      </c>
      <c r="Q183" s="45">
        <f>DATE(YEAR(Tabla2[[#This Row],[Fecha de Recibido]]),MONTH(Tabla2[[#This Row],[Fecha de Recibido]]),1)</f>
        <v>45231</v>
      </c>
      <c r="R183" s="45" t="s">
        <v>63</v>
      </c>
    </row>
    <row r="184" spans="1:18" ht="37.5" customHeight="1">
      <c r="A184" s="63">
        <v>45244</v>
      </c>
      <c r="B184" s="42" t="s">
        <v>410</v>
      </c>
      <c r="C184" s="42" t="s">
        <v>411</v>
      </c>
      <c r="D184" s="41">
        <v>45247</v>
      </c>
      <c r="E184" s="41">
        <v>45246</v>
      </c>
      <c r="G184" s="43" t="s">
        <v>412</v>
      </c>
      <c r="H184" s="43"/>
      <c r="I184" s="43"/>
      <c r="J184" s="43" t="s">
        <v>3</v>
      </c>
      <c r="K184" s="43" t="s">
        <v>404</v>
      </c>
      <c r="L184" s="44" t="str">
        <f>IF(Tabla2[[#This Row],[Fecha de Resp]]&gt;Tabla2[[#This Row],[Fecha MAX de Resp]],"Retrasado",IF(Tabla2[[#This Row],[Fecha de Resp]]=0,"Pendiente",IF(Tabla2[[#This Row],[Fecha de Resp]]&lt;=Tabla2[[#This Row],[Fecha MAX de Resp]],"A Tiempo",0)))</f>
        <v>A Tiempo</v>
      </c>
      <c r="M184" s="43"/>
      <c r="N184" s="44"/>
      <c r="O184" s="48" t="b">
        <f>EXACT(Tabla2[[#This Row],[Fecha de Recibido]],Tabla2[[#This Row],[Fecha MAX de Resp]])</f>
        <v>0</v>
      </c>
      <c r="P184" s="48" t="b">
        <f>EXACT(Tabla2[[#This Row],[Fecha de Recibido]],Tabla2[[#This Row],[Fecha de Resp]])</f>
        <v>0</v>
      </c>
      <c r="Q184" s="45">
        <f>DATE(YEAR(Tabla2[[#This Row],[Fecha de Recibido]]),MONTH(Tabla2[[#This Row],[Fecha de Recibido]]),1)</f>
        <v>45231</v>
      </c>
      <c r="R184" s="45" t="s">
        <v>63</v>
      </c>
    </row>
    <row r="185" spans="1:18" ht="37.5" customHeight="1">
      <c r="A185" s="63">
        <v>45230</v>
      </c>
      <c r="B185" s="42" t="s">
        <v>24</v>
      </c>
      <c r="C185" s="42" t="s">
        <v>413</v>
      </c>
      <c r="D185" s="58">
        <v>45230</v>
      </c>
      <c r="E185" s="58">
        <v>45230</v>
      </c>
      <c r="G185" s="43" t="s">
        <v>414</v>
      </c>
      <c r="H185" s="43" t="s">
        <v>400</v>
      </c>
      <c r="I185" s="43" t="s">
        <v>415</v>
      </c>
      <c r="J185" s="43" t="s">
        <v>11</v>
      </c>
      <c r="K185" s="43" t="s">
        <v>12</v>
      </c>
      <c r="L185" s="44" t="str">
        <f>IF(Tabla2[[#This Row],[Fecha de Resp]]&gt;Tabla2[[#This Row],[Fecha MAX de Resp]],"Retrasado",IF(Tabla2[[#This Row],[Fecha de Resp]]=0,"Pendiente",IF(Tabla2[[#This Row],[Fecha de Resp]]&lt;=Tabla2[[#This Row],[Fecha MAX de Resp]],"A Tiempo",0)))</f>
        <v>A Tiempo</v>
      </c>
      <c r="M185" s="43"/>
      <c r="N185" s="44"/>
      <c r="O185" s="48" t="b">
        <f>EXACT(Tabla2[[#This Row],[Fecha de Recibido]],Tabla2[[#This Row],[Fecha MAX de Resp]])</f>
        <v>1</v>
      </c>
      <c r="P185" s="48" t="b">
        <f>EXACT(Tabla2[[#This Row],[Fecha de Recibido]],Tabla2[[#This Row],[Fecha de Resp]])</f>
        <v>1</v>
      </c>
      <c r="Q185" s="45">
        <f>DATE(YEAR(Tabla2[[#This Row],[Fecha de Recibido]]),MONTH(Tabla2[[#This Row],[Fecha de Recibido]]),1)</f>
        <v>45200</v>
      </c>
      <c r="R185" s="45" t="s">
        <v>63</v>
      </c>
    </row>
    <row r="186" spans="1:18" s="46" customFormat="1" ht="37.5" customHeight="1">
      <c r="A186" s="63">
        <v>45229</v>
      </c>
      <c r="B186" s="42" t="s">
        <v>26</v>
      </c>
      <c r="C186" s="42" t="s">
        <v>416</v>
      </c>
      <c r="D186" s="41">
        <v>45233</v>
      </c>
      <c r="E186" s="41">
        <v>45233</v>
      </c>
      <c r="F186" s="42"/>
      <c r="G186" s="43" t="s">
        <v>417</v>
      </c>
      <c r="H186" s="43"/>
      <c r="I186" s="43"/>
      <c r="J186" s="43" t="s">
        <v>3</v>
      </c>
      <c r="K186" s="43" t="s">
        <v>404</v>
      </c>
      <c r="L186" s="44" t="str">
        <f>IF(Tabla2[[#This Row],[Fecha de Resp]]&gt;Tabla2[[#This Row],[Fecha MAX de Resp]],"Retrasado",IF(Tabla2[[#This Row],[Fecha de Resp]]=0,"Pendiente",IF(Tabla2[[#This Row],[Fecha de Resp]]&lt;=Tabla2[[#This Row],[Fecha MAX de Resp]],"A Tiempo",0)))</f>
        <v>A Tiempo</v>
      </c>
      <c r="M186" s="43"/>
      <c r="N186" s="44"/>
      <c r="O186" s="48" t="b">
        <f>EXACT(Tabla2[[#This Row],[Fecha de Recibido]],Tabla2[[#This Row],[Fecha MAX de Resp]])</f>
        <v>0</v>
      </c>
      <c r="P186" s="48" t="b">
        <f>EXACT(Tabla2[[#This Row],[Fecha de Recibido]],Tabla2[[#This Row],[Fecha de Resp]])</f>
        <v>0</v>
      </c>
      <c r="Q186" s="45">
        <f>DATE(YEAR(Tabla2[[#This Row],[Fecha de Recibido]]),MONTH(Tabla2[[#This Row],[Fecha de Recibido]]),1)</f>
        <v>45200</v>
      </c>
      <c r="R186" s="45" t="s">
        <v>63</v>
      </c>
    </row>
    <row r="187" spans="1:18" ht="37.5" customHeight="1">
      <c r="A187" s="63">
        <v>45222</v>
      </c>
      <c r="B187" s="42" t="s">
        <v>17</v>
      </c>
      <c r="C187" s="42" t="s">
        <v>418</v>
      </c>
      <c r="D187" s="58">
        <v>45222</v>
      </c>
      <c r="E187" s="58">
        <v>45222</v>
      </c>
      <c r="G187" s="43" t="s">
        <v>419</v>
      </c>
      <c r="H187" s="43" t="s">
        <v>419</v>
      </c>
      <c r="I187" s="43" t="s">
        <v>420</v>
      </c>
      <c r="J187" s="43" t="s">
        <v>3</v>
      </c>
      <c r="K187" s="43" t="s">
        <v>19</v>
      </c>
      <c r="L187" s="44" t="str">
        <f>IF(Tabla2[[#This Row],[Fecha de Resp]]&gt;Tabla2[[#This Row],[Fecha MAX de Resp]],"Retrasado",IF(Tabla2[[#This Row],[Fecha de Resp]]=0,"Pendiente",IF(Tabla2[[#This Row],[Fecha de Resp]]&lt;=Tabla2[[#This Row],[Fecha MAX de Resp]],"A Tiempo",0)))</f>
        <v>A Tiempo</v>
      </c>
      <c r="M187" s="48"/>
      <c r="N187" s="48"/>
      <c r="O187" s="48" t="b">
        <f>EXACT(Tabla2[[#This Row],[Fecha de Recibido]],Tabla2[[#This Row],[Fecha MAX de Resp]])</f>
        <v>1</v>
      </c>
      <c r="P187" s="48" t="b">
        <f>EXACT(Tabla2[[#This Row],[Fecha de Recibido]],Tabla2[[#This Row],[Fecha de Resp]])</f>
        <v>1</v>
      </c>
      <c r="Q187" s="45">
        <f>DATE(YEAR(Tabla2[[#This Row],[Fecha de Recibido]]),MONTH(Tabla2[[#This Row],[Fecha de Recibido]]),1)</f>
        <v>45200</v>
      </c>
      <c r="R187" s="45" t="s">
        <v>63</v>
      </c>
    </row>
    <row r="188" spans="1:18" ht="37.5" customHeight="1">
      <c r="A188" s="63">
        <v>45217</v>
      </c>
      <c r="B188" s="42" t="s">
        <v>32</v>
      </c>
      <c r="C188" s="42" t="s">
        <v>421</v>
      </c>
      <c r="D188" s="41">
        <v>45230</v>
      </c>
      <c r="E188" s="41">
        <v>45230</v>
      </c>
      <c r="F188" s="42" t="s">
        <v>422</v>
      </c>
      <c r="G188" s="43" t="s">
        <v>423</v>
      </c>
      <c r="H188" s="42" t="s">
        <v>422</v>
      </c>
      <c r="I188" s="43" t="s">
        <v>424</v>
      </c>
      <c r="J188" s="43" t="s">
        <v>3</v>
      </c>
      <c r="K188" s="42" t="s">
        <v>360</v>
      </c>
      <c r="L188" s="44" t="str">
        <f>IF(Tabla2[[#This Row],[Fecha de Resp]]&gt;Tabla2[[#This Row],[Fecha MAX de Resp]],"Retrasado",IF(Tabla2[[#This Row],[Fecha de Resp]]=0,"Pendiente",IF(Tabla2[[#This Row],[Fecha de Resp]]&lt;=Tabla2[[#This Row],[Fecha MAX de Resp]],"A Tiempo",0)))</f>
        <v>A Tiempo</v>
      </c>
      <c r="M188" s="48"/>
      <c r="N188" s="48"/>
      <c r="O188" s="48" t="b">
        <f>EXACT(Tabla2[[#This Row],[Fecha de Recibido]],Tabla2[[#This Row],[Fecha MAX de Resp]])</f>
        <v>0</v>
      </c>
      <c r="P188" s="48" t="b">
        <f>EXACT(Tabla2[[#This Row],[Fecha de Recibido]],Tabla2[[#This Row],[Fecha de Resp]])</f>
        <v>0</v>
      </c>
      <c r="Q188" s="45">
        <f>DATE(YEAR(Tabla2[[#This Row],[Fecha de Recibido]]),MONTH(Tabla2[[#This Row],[Fecha de Recibido]]),1)</f>
        <v>45200</v>
      </c>
      <c r="R188" s="45" t="s">
        <v>63</v>
      </c>
    </row>
    <row r="189" spans="1:18" ht="37.5" customHeight="1">
      <c r="A189" s="63">
        <v>45216</v>
      </c>
      <c r="B189" s="42" t="s">
        <v>30</v>
      </c>
      <c r="C189" s="42" t="s">
        <v>425</v>
      </c>
      <c r="D189" s="41">
        <v>45217</v>
      </c>
      <c r="E189" s="41">
        <v>45217</v>
      </c>
      <c r="G189" s="43" t="s">
        <v>426</v>
      </c>
      <c r="H189" s="43" t="s">
        <v>426</v>
      </c>
      <c r="I189" s="48"/>
      <c r="J189" s="48" t="s">
        <v>14</v>
      </c>
      <c r="K189" s="43" t="s">
        <v>352</v>
      </c>
      <c r="L189" s="44" t="str">
        <f>IF(Tabla2[[#This Row],[Fecha de Resp]]&gt;Tabla2[[#This Row],[Fecha MAX de Resp]],"Retrasado",IF(Tabla2[[#This Row],[Fecha de Resp]]=0,"Pendiente",IF(Tabla2[[#This Row],[Fecha de Resp]]&lt;=Tabla2[[#This Row],[Fecha MAX de Resp]],"A Tiempo",0)))</f>
        <v>A Tiempo</v>
      </c>
      <c r="M189" s="48"/>
      <c r="N189" s="48"/>
      <c r="O189" s="48" t="b">
        <f>EXACT(Tabla2[[#This Row],[Fecha de Recibido]],Tabla2[[#This Row],[Fecha MAX de Resp]])</f>
        <v>0</v>
      </c>
      <c r="P189" s="48" t="b">
        <f>EXACT(Tabla2[[#This Row],[Fecha de Recibido]],Tabla2[[#This Row],[Fecha de Resp]])</f>
        <v>0</v>
      </c>
      <c r="Q189" s="45">
        <f>DATE(YEAR(Tabla2[[#This Row],[Fecha de Recibido]]),MONTH(Tabla2[[#This Row],[Fecha de Recibido]]),1)</f>
        <v>45200</v>
      </c>
      <c r="R189" s="45" t="s">
        <v>63</v>
      </c>
    </row>
    <row r="190" spans="1:18" ht="37.5" customHeight="1">
      <c r="A190" s="63">
        <v>45216</v>
      </c>
      <c r="B190" s="42" t="s">
        <v>30</v>
      </c>
      <c r="C190" s="42" t="s">
        <v>427</v>
      </c>
      <c r="D190" s="41">
        <v>45217</v>
      </c>
      <c r="E190" s="41">
        <v>45217</v>
      </c>
      <c r="G190" s="43" t="s">
        <v>428</v>
      </c>
      <c r="H190" s="43" t="s">
        <v>428</v>
      </c>
      <c r="I190" s="48"/>
      <c r="J190" s="43" t="s">
        <v>11</v>
      </c>
      <c r="K190" s="43" t="s">
        <v>352</v>
      </c>
      <c r="L190" s="44" t="str">
        <f>IF(Tabla2[[#This Row],[Fecha de Resp]]&gt;Tabla2[[#This Row],[Fecha MAX de Resp]],"Retrasado",IF(Tabla2[[#This Row],[Fecha de Resp]]=0,"Pendiente",IF(Tabla2[[#This Row],[Fecha de Resp]]&lt;=Tabla2[[#This Row],[Fecha MAX de Resp]],"A Tiempo",0)))</f>
        <v>A Tiempo</v>
      </c>
      <c r="M190" s="48"/>
      <c r="N190" s="48"/>
      <c r="O190" s="48" t="b">
        <f>EXACT(Tabla2[[#This Row],[Fecha de Recibido]],Tabla2[[#This Row],[Fecha MAX de Resp]])</f>
        <v>0</v>
      </c>
      <c r="P190" s="48" t="b">
        <f>EXACT(Tabla2[[#This Row],[Fecha de Recibido]],Tabla2[[#This Row],[Fecha de Resp]])</f>
        <v>0</v>
      </c>
      <c r="Q190" s="45">
        <f>DATE(YEAR(Tabla2[[#This Row],[Fecha de Recibido]]),MONTH(Tabla2[[#This Row],[Fecha de Recibido]]),1)</f>
        <v>45200</v>
      </c>
      <c r="R190" s="45" t="s">
        <v>63</v>
      </c>
    </row>
    <row r="191" spans="1:18" ht="37.5" customHeight="1">
      <c r="A191" s="63">
        <v>45216</v>
      </c>
      <c r="B191" s="42" t="s">
        <v>30</v>
      </c>
      <c r="C191" s="42" t="s">
        <v>429</v>
      </c>
      <c r="D191" s="41">
        <v>45217</v>
      </c>
      <c r="E191" s="41">
        <v>45217</v>
      </c>
      <c r="G191" s="43" t="s">
        <v>430</v>
      </c>
      <c r="H191" s="43" t="s">
        <v>430</v>
      </c>
      <c r="I191" s="48"/>
      <c r="J191" s="43" t="s">
        <v>8</v>
      </c>
      <c r="K191" s="43" t="s">
        <v>352</v>
      </c>
      <c r="L191" s="44" t="str">
        <f>IF(Tabla2[[#This Row],[Fecha de Resp]]&gt;Tabla2[[#This Row],[Fecha MAX de Resp]],"Retrasado",IF(Tabla2[[#This Row],[Fecha de Resp]]=0,"Pendiente",IF(Tabla2[[#This Row],[Fecha de Resp]]&lt;=Tabla2[[#This Row],[Fecha MAX de Resp]],"A Tiempo",0)))</f>
        <v>A Tiempo</v>
      </c>
      <c r="M191" s="48"/>
      <c r="N191" s="48"/>
      <c r="O191" s="48" t="b">
        <f>EXACT(Tabla2[[#This Row],[Fecha de Recibido]],Tabla2[[#This Row],[Fecha MAX de Resp]])</f>
        <v>0</v>
      </c>
      <c r="P191" s="48" t="b">
        <f>EXACT(Tabla2[[#This Row],[Fecha de Recibido]],Tabla2[[#This Row],[Fecha de Resp]])</f>
        <v>0</v>
      </c>
      <c r="Q191" s="45">
        <f>DATE(YEAR(Tabla2[[#This Row],[Fecha de Recibido]]),MONTH(Tabla2[[#This Row],[Fecha de Recibido]]),1)</f>
        <v>45200</v>
      </c>
      <c r="R191" s="45" t="s">
        <v>63</v>
      </c>
    </row>
    <row r="192" spans="1:18" ht="37.5" customHeight="1">
      <c r="A192" s="63">
        <v>45216</v>
      </c>
      <c r="B192" s="42" t="s">
        <v>30</v>
      </c>
      <c r="C192" s="42" t="s">
        <v>431</v>
      </c>
      <c r="D192" s="41">
        <v>45217</v>
      </c>
      <c r="E192" s="41">
        <v>45217</v>
      </c>
      <c r="G192" s="43" t="s">
        <v>432</v>
      </c>
      <c r="H192" s="43" t="s">
        <v>432</v>
      </c>
      <c r="I192" s="48"/>
      <c r="J192" s="43" t="s">
        <v>3</v>
      </c>
      <c r="K192" s="43" t="s">
        <v>352</v>
      </c>
      <c r="L192" s="44" t="str">
        <f>IF(Tabla2[[#This Row],[Fecha de Resp]]&gt;Tabla2[[#This Row],[Fecha MAX de Resp]],"Retrasado",IF(Tabla2[[#This Row],[Fecha de Resp]]=0,"Pendiente",IF(Tabla2[[#This Row],[Fecha de Resp]]&lt;=Tabla2[[#This Row],[Fecha MAX de Resp]],"A Tiempo",0)))</f>
        <v>A Tiempo</v>
      </c>
      <c r="M192" s="48"/>
      <c r="N192" s="48"/>
      <c r="O192" s="48" t="b">
        <f>EXACT(Tabla2[[#This Row],[Fecha de Recibido]],Tabla2[[#This Row],[Fecha MAX de Resp]])</f>
        <v>0</v>
      </c>
      <c r="P192" s="48" t="b">
        <f>EXACT(Tabla2[[#This Row],[Fecha de Recibido]],Tabla2[[#This Row],[Fecha de Resp]])</f>
        <v>0</v>
      </c>
      <c r="Q192" s="45">
        <f>DATE(YEAR(Tabla2[[#This Row],[Fecha de Recibido]]),MONTH(Tabla2[[#This Row],[Fecha de Recibido]]),1)</f>
        <v>45200</v>
      </c>
      <c r="R192" s="45" t="s">
        <v>63</v>
      </c>
    </row>
    <row r="193" spans="1:18" ht="37.5" customHeight="1">
      <c r="A193" s="63">
        <v>45194</v>
      </c>
      <c r="B193" s="42" t="s">
        <v>24</v>
      </c>
      <c r="C193" s="42" t="s">
        <v>433</v>
      </c>
      <c r="D193" s="41">
        <v>45198</v>
      </c>
      <c r="E193" s="41">
        <v>45198</v>
      </c>
      <c r="G193" s="43" t="s">
        <v>434</v>
      </c>
      <c r="H193" s="43"/>
      <c r="I193" s="43"/>
      <c r="J193" s="43" t="s">
        <v>3</v>
      </c>
      <c r="K193" s="43" t="s">
        <v>9</v>
      </c>
      <c r="L193" s="44" t="str">
        <f>IF(Tabla2[[#This Row],[Fecha de Resp]]&gt;Tabla2[[#This Row],[Fecha MAX de Resp]],"Retrasado",IF(Tabla2[[#This Row],[Fecha de Resp]]=0,"Pendiente",IF(Tabla2[[#This Row],[Fecha de Resp]]&lt;=Tabla2[[#This Row],[Fecha MAX de Resp]],"A Tiempo",0)))</f>
        <v>A Tiempo</v>
      </c>
      <c r="M193" s="43"/>
      <c r="N193" s="44"/>
      <c r="O193" s="48" t="b">
        <f>EXACT(Tabla2[[#This Row],[Fecha de Recibido]],Tabla2[[#This Row],[Fecha MAX de Resp]])</f>
        <v>0</v>
      </c>
      <c r="P193" s="48" t="b">
        <f>EXACT(Tabla2[[#This Row],[Fecha de Recibido]],Tabla2[[#This Row],[Fecha de Resp]])</f>
        <v>0</v>
      </c>
      <c r="Q193" s="45">
        <f>DATE(YEAR(Tabla2[[#This Row],[Fecha de Recibido]]),MONTH(Tabla2[[#This Row],[Fecha de Recibido]]),1)</f>
        <v>45170</v>
      </c>
      <c r="R193" s="45" t="s">
        <v>63</v>
      </c>
    </row>
    <row r="194" spans="1:18" ht="37.5" customHeight="1">
      <c r="A194" s="63">
        <v>45188</v>
      </c>
      <c r="B194" s="42" t="s">
        <v>32</v>
      </c>
      <c r="C194" s="42" t="s">
        <v>435</v>
      </c>
      <c r="D194" s="41">
        <v>45205</v>
      </c>
      <c r="E194" s="41">
        <v>45205</v>
      </c>
      <c r="G194" s="43" t="s">
        <v>436</v>
      </c>
      <c r="H194" s="43" t="s">
        <v>437</v>
      </c>
      <c r="I194" s="55" t="s">
        <v>438</v>
      </c>
      <c r="J194" s="43" t="s">
        <v>3</v>
      </c>
      <c r="K194" s="43" t="s">
        <v>352</v>
      </c>
      <c r="L194" s="44" t="str">
        <f>IF(Tabla2[[#This Row],[Fecha de Resp]]&gt;Tabla2[[#This Row],[Fecha MAX de Resp]],"Retrasado",IF(Tabla2[[#This Row],[Fecha de Resp]]=0,"Pendiente",IF(Tabla2[[#This Row],[Fecha de Resp]]&lt;=Tabla2[[#This Row],[Fecha MAX de Resp]],"A Tiempo",0)))</f>
        <v>A Tiempo</v>
      </c>
      <c r="M194" s="45">
        <v>45188</v>
      </c>
      <c r="N194" s="44" t="s">
        <v>439</v>
      </c>
      <c r="O194" s="48" t="b">
        <f>EXACT(Tabla2[[#This Row],[Fecha de Recibido]],Tabla2[[#This Row],[Fecha MAX de Resp]])</f>
        <v>0</v>
      </c>
      <c r="P194" s="48" t="b">
        <f>EXACT(Tabla2[[#This Row],[Fecha de Recibido]],Tabla2[[#This Row],[Fecha de Resp]])</f>
        <v>0</v>
      </c>
      <c r="Q194" s="45">
        <f>DATE(YEAR(Tabla2[[#This Row],[Fecha de Recibido]]),MONTH(Tabla2[[#This Row],[Fecha de Recibido]]),1)</f>
        <v>45170</v>
      </c>
      <c r="R194" s="45" t="s">
        <v>63</v>
      </c>
    </row>
    <row r="195" spans="1:18" ht="37.5" customHeight="1">
      <c r="A195" s="63">
        <v>45188</v>
      </c>
      <c r="B195" s="42" t="s">
        <v>32</v>
      </c>
      <c r="C195" s="42" t="s">
        <v>440</v>
      </c>
      <c r="D195" s="41">
        <v>45205</v>
      </c>
      <c r="E195" s="41">
        <v>45205</v>
      </c>
      <c r="G195" s="43" t="s">
        <v>441</v>
      </c>
      <c r="H195" s="43" t="s">
        <v>442</v>
      </c>
      <c r="I195" s="55" t="s">
        <v>438</v>
      </c>
      <c r="J195" s="43" t="s">
        <v>8</v>
      </c>
      <c r="K195" s="43" t="s">
        <v>352</v>
      </c>
      <c r="L195" s="44" t="str">
        <f>IF(Tabla2[[#This Row],[Fecha de Resp]]&gt;Tabla2[[#This Row],[Fecha MAX de Resp]],"Retrasado",IF(Tabla2[[#This Row],[Fecha de Resp]]=0,"Pendiente",IF(Tabla2[[#This Row],[Fecha de Resp]]&lt;=Tabla2[[#This Row],[Fecha MAX de Resp]],"A Tiempo",0)))</f>
        <v>A Tiempo</v>
      </c>
      <c r="M195" s="45">
        <v>45188</v>
      </c>
      <c r="N195" s="44" t="s">
        <v>443</v>
      </c>
      <c r="O195" s="48" t="b">
        <f>EXACT(Tabla2[[#This Row],[Fecha de Recibido]],Tabla2[[#This Row],[Fecha MAX de Resp]])</f>
        <v>0</v>
      </c>
      <c r="P195" s="48" t="b">
        <f>EXACT(Tabla2[[#This Row],[Fecha de Recibido]],Tabla2[[#This Row],[Fecha de Resp]])</f>
        <v>0</v>
      </c>
      <c r="Q195" s="45">
        <f>DATE(YEAR(Tabla2[[#This Row],[Fecha de Recibido]]),MONTH(Tabla2[[#This Row],[Fecha de Recibido]]),1)</f>
        <v>45170</v>
      </c>
      <c r="R195" s="45" t="s">
        <v>63</v>
      </c>
    </row>
    <row r="196" spans="1:18" ht="37.5" customHeight="1">
      <c r="A196" s="63">
        <v>45188</v>
      </c>
      <c r="B196" s="42" t="s">
        <v>32</v>
      </c>
      <c r="C196" s="42" t="s">
        <v>444</v>
      </c>
      <c r="D196" s="41">
        <v>45205</v>
      </c>
      <c r="E196" s="41">
        <v>45205</v>
      </c>
      <c r="G196" s="43" t="s">
        <v>445</v>
      </c>
      <c r="H196" s="43" t="s">
        <v>446</v>
      </c>
      <c r="I196" s="55" t="s">
        <v>438</v>
      </c>
      <c r="J196" s="43" t="s">
        <v>11</v>
      </c>
      <c r="K196" s="43" t="s">
        <v>352</v>
      </c>
      <c r="L196" s="44" t="str">
        <f>IF(Tabla2[[#This Row],[Fecha de Resp]]&gt;Tabla2[[#This Row],[Fecha MAX de Resp]],"Retrasado",IF(Tabla2[[#This Row],[Fecha de Resp]]=0,"Pendiente",IF(Tabla2[[#This Row],[Fecha de Resp]]&lt;=Tabla2[[#This Row],[Fecha MAX de Resp]],"A Tiempo",0)))</f>
        <v>A Tiempo</v>
      </c>
      <c r="M196" s="45">
        <v>45188</v>
      </c>
      <c r="N196" s="44" t="s">
        <v>447</v>
      </c>
      <c r="O196" s="48" t="b">
        <f>EXACT(Tabla2[[#This Row],[Fecha de Recibido]],Tabla2[[#This Row],[Fecha MAX de Resp]])</f>
        <v>0</v>
      </c>
      <c r="P196" s="48" t="b">
        <f>EXACT(Tabla2[[#This Row],[Fecha de Recibido]],Tabla2[[#This Row],[Fecha de Resp]])</f>
        <v>0</v>
      </c>
      <c r="Q196" s="45">
        <f>DATE(YEAR(Tabla2[[#This Row],[Fecha de Recibido]]),MONTH(Tabla2[[#This Row],[Fecha de Recibido]]),1)</f>
        <v>45170</v>
      </c>
      <c r="R196" s="45" t="s">
        <v>63</v>
      </c>
    </row>
    <row r="197" spans="1:18" ht="37.5" customHeight="1">
      <c r="A197" s="63">
        <v>45188</v>
      </c>
      <c r="B197" s="42" t="s">
        <v>32</v>
      </c>
      <c r="C197" s="42" t="s">
        <v>448</v>
      </c>
      <c r="D197" s="41">
        <v>45205</v>
      </c>
      <c r="E197" s="41">
        <v>45205</v>
      </c>
      <c r="G197" s="43" t="s">
        <v>449</v>
      </c>
      <c r="H197" s="43" t="s">
        <v>450</v>
      </c>
      <c r="I197" s="55" t="s">
        <v>438</v>
      </c>
      <c r="J197" s="43" t="s">
        <v>14</v>
      </c>
      <c r="K197" s="43" t="s">
        <v>352</v>
      </c>
      <c r="L197" s="44" t="str">
        <f>IF(Tabla2[[#This Row],[Fecha de Resp]]&gt;Tabla2[[#This Row],[Fecha MAX de Resp]],"Retrasado",IF(Tabla2[[#This Row],[Fecha de Resp]]=0,"Pendiente",IF(Tabla2[[#This Row],[Fecha de Resp]]&lt;=Tabla2[[#This Row],[Fecha MAX de Resp]],"A Tiempo",0)))</f>
        <v>A Tiempo</v>
      </c>
      <c r="M197" s="45">
        <v>45188</v>
      </c>
      <c r="N197" s="44" t="s">
        <v>451</v>
      </c>
      <c r="O197" s="48" t="b">
        <f>EXACT(Tabla2[[#This Row],[Fecha de Recibido]],Tabla2[[#This Row],[Fecha MAX de Resp]])</f>
        <v>0</v>
      </c>
      <c r="P197" s="48" t="b">
        <f>EXACT(Tabla2[[#This Row],[Fecha de Recibido]],Tabla2[[#This Row],[Fecha de Resp]])</f>
        <v>0</v>
      </c>
      <c r="Q197" s="45">
        <f>DATE(YEAR(Tabla2[[#This Row],[Fecha de Recibido]]),MONTH(Tabla2[[#This Row],[Fecha de Recibido]]),1)</f>
        <v>45170</v>
      </c>
      <c r="R197" s="45" t="s">
        <v>63</v>
      </c>
    </row>
    <row r="198" spans="1:18" ht="37.5" customHeight="1">
      <c r="A198" s="63">
        <v>45187</v>
      </c>
      <c r="B198" s="42" t="s">
        <v>30</v>
      </c>
      <c r="C198" s="42" t="s">
        <v>452</v>
      </c>
      <c r="D198" s="41">
        <v>45201</v>
      </c>
      <c r="E198" s="41">
        <v>45201</v>
      </c>
      <c r="F198" s="47" t="s">
        <v>422</v>
      </c>
      <c r="G198" s="43" t="s">
        <v>453</v>
      </c>
      <c r="H198" s="47" t="s">
        <v>422</v>
      </c>
      <c r="I198" s="43"/>
      <c r="J198" s="43" t="s">
        <v>3</v>
      </c>
      <c r="K198" s="43" t="s">
        <v>12</v>
      </c>
      <c r="L198" s="44" t="str">
        <f>IF(Tabla2[[#This Row],[Fecha de Resp]]&gt;Tabla2[[#This Row],[Fecha MAX de Resp]],"Retrasado",IF(Tabla2[[#This Row],[Fecha de Resp]]=0,"Pendiente",IF(Tabla2[[#This Row],[Fecha de Resp]]&lt;=Tabla2[[#This Row],[Fecha MAX de Resp]],"A Tiempo",0)))</f>
        <v>A Tiempo</v>
      </c>
      <c r="M198" s="43"/>
      <c r="N198" s="44"/>
      <c r="O198" s="48" t="b">
        <f>EXACT(Tabla2[[#This Row],[Fecha de Recibido]],Tabla2[[#This Row],[Fecha MAX de Resp]])</f>
        <v>0</v>
      </c>
      <c r="P198" s="48" t="b">
        <f>EXACT(Tabla2[[#This Row],[Fecha de Recibido]],Tabla2[[#This Row],[Fecha de Resp]])</f>
        <v>0</v>
      </c>
      <c r="Q198" s="45">
        <f>DATE(YEAR(Tabla2[[#This Row],[Fecha de Recibido]]),MONTH(Tabla2[[#This Row],[Fecha de Recibido]]),1)</f>
        <v>45170</v>
      </c>
      <c r="R198" s="45" t="s">
        <v>63</v>
      </c>
    </row>
    <row r="199" spans="1:18" ht="37.5" customHeight="1">
      <c r="A199" s="63">
        <v>45187</v>
      </c>
      <c r="B199" s="42" t="s">
        <v>30</v>
      </c>
      <c r="C199" s="42" t="s">
        <v>454</v>
      </c>
      <c r="D199" s="41">
        <v>45202</v>
      </c>
      <c r="E199" s="41">
        <v>45202</v>
      </c>
      <c r="F199" s="47" t="s">
        <v>422</v>
      </c>
      <c r="G199" s="43" t="s">
        <v>455</v>
      </c>
      <c r="H199" s="47" t="s">
        <v>422</v>
      </c>
      <c r="I199" s="43"/>
      <c r="J199" s="43" t="s">
        <v>3</v>
      </c>
      <c r="K199" s="43" t="s">
        <v>12</v>
      </c>
      <c r="L199" s="44" t="str">
        <f>IF(Tabla2[[#This Row],[Fecha de Resp]]&gt;Tabla2[[#This Row],[Fecha MAX de Resp]],"Retrasado",IF(Tabla2[[#This Row],[Fecha de Resp]]=0,"Pendiente",IF(Tabla2[[#This Row],[Fecha de Resp]]&lt;=Tabla2[[#This Row],[Fecha MAX de Resp]],"A Tiempo",0)))</f>
        <v>A Tiempo</v>
      </c>
      <c r="M199" s="43"/>
      <c r="N199" s="44"/>
      <c r="O199" s="48" t="b">
        <f>EXACT(Tabla2[[#This Row],[Fecha de Recibido]],Tabla2[[#This Row],[Fecha MAX de Resp]])</f>
        <v>0</v>
      </c>
      <c r="P199" s="48" t="b">
        <f>EXACT(Tabla2[[#This Row],[Fecha de Recibido]],Tabla2[[#This Row],[Fecha de Resp]])</f>
        <v>0</v>
      </c>
      <c r="Q199" s="45">
        <f>DATE(YEAR(Tabla2[[#This Row],[Fecha de Recibido]]),MONTH(Tabla2[[#This Row],[Fecha de Recibido]]),1)</f>
        <v>45170</v>
      </c>
      <c r="R199" s="45" t="s">
        <v>63</v>
      </c>
    </row>
    <row r="200" spans="1:18" ht="37.5" customHeight="1">
      <c r="A200" s="63">
        <v>45187</v>
      </c>
      <c r="B200" s="42" t="s">
        <v>30</v>
      </c>
      <c r="C200" s="42" t="s">
        <v>456</v>
      </c>
      <c r="D200" s="41">
        <v>45202</v>
      </c>
      <c r="E200" s="41">
        <v>45202</v>
      </c>
      <c r="F200" s="47" t="s">
        <v>422</v>
      </c>
      <c r="G200" s="43" t="s">
        <v>457</v>
      </c>
      <c r="H200" s="47" t="s">
        <v>422</v>
      </c>
      <c r="I200" s="43"/>
      <c r="J200" s="43" t="s">
        <v>3</v>
      </c>
      <c r="K200" s="43" t="s">
        <v>12</v>
      </c>
      <c r="L200" s="44" t="str">
        <f>IF(Tabla2[[#This Row],[Fecha de Resp]]&gt;Tabla2[[#This Row],[Fecha MAX de Resp]],"Retrasado",IF(Tabla2[[#This Row],[Fecha de Resp]]=0,"Pendiente",IF(Tabla2[[#This Row],[Fecha de Resp]]&lt;=Tabla2[[#This Row],[Fecha MAX de Resp]],"A Tiempo",0)))</f>
        <v>A Tiempo</v>
      </c>
      <c r="M200" s="43"/>
      <c r="N200" s="44"/>
      <c r="O200" s="48" t="b">
        <f>EXACT(Tabla2[[#This Row],[Fecha de Recibido]],Tabla2[[#This Row],[Fecha MAX de Resp]])</f>
        <v>0</v>
      </c>
      <c r="P200" s="48" t="b">
        <f>EXACT(Tabla2[[#This Row],[Fecha de Recibido]],Tabla2[[#This Row],[Fecha de Resp]])</f>
        <v>0</v>
      </c>
      <c r="Q200" s="45">
        <f>DATE(YEAR(Tabla2[[#This Row],[Fecha de Recibido]]),MONTH(Tabla2[[#This Row],[Fecha de Recibido]]),1)</f>
        <v>45170</v>
      </c>
      <c r="R200" s="45" t="s">
        <v>63</v>
      </c>
    </row>
    <row r="201" spans="1:18" ht="37.5" customHeight="1">
      <c r="A201" s="63">
        <v>45182</v>
      </c>
      <c r="B201" s="42" t="s">
        <v>32</v>
      </c>
      <c r="C201" s="42" t="s">
        <v>458</v>
      </c>
      <c r="D201" s="41">
        <v>45184</v>
      </c>
      <c r="E201" s="41">
        <v>45184</v>
      </c>
      <c r="G201" s="43" t="s">
        <v>459</v>
      </c>
      <c r="H201" s="43"/>
      <c r="I201" s="43" t="s">
        <v>460</v>
      </c>
      <c r="J201" s="43" t="s">
        <v>3</v>
      </c>
      <c r="K201" s="43" t="s">
        <v>12</v>
      </c>
      <c r="L201" s="44" t="str">
        <f>IF(Tabla2[[#This Row],[Fecha de Resp]]&gt;Tabla2[[#This Row],[Fecha MAX de Resp]],"Retrasado",IF(Tabla2[[#This Row],[Fecha de Resp]]=0,"Pendiente",IF(Tabla2[[#This Row],[Fecha de Resp]]&lt;=Tabla2[[#This Row],[Fecha MAX de Resp]],"A Tiempo",0)))</f>
        <v>A Tiempo</v>
      </c>
      <c r="M201" s="45">
        <v>45188</v>
      </c>
      <c r="N201" s="44" t="s">
        <v>461</v>
      </c>
      <c r="O201" s="48" t="b">
        <f>EXACT(Tabla2[[#This Row],[Fecha de Recibido]],Tabla2[[#This Row],[Fecha MAX de Resp]])</f>
        <v>0</v>
      </c>
      <c r="P201" s="48" t="b">
        <f>EXACT(Tabla2[[#This Row],[Fecha de Recibido]],Tabla2[[#This Row],[Fecha de Resp]])</f>
        <v>0</v>
      </c>
      <c r="Q201" s="45">
        <f>DATE(YEAR(Tabla2[[#This Row],[Fecha de Recibido]]),MONTH(Tabla2[[#This Row],[Fecha de Recibido]]),1)</f>
        <v>45170</v>
      </c>
      <c r="R201" s="45" t="s">
        <v>63</v>
      </c>
    </row>
    <row r="202" spans="1:18" ht="37.5" customHeight="1">
      <c r="A202" s="63">
        <v>45182</v>
      </c>
      <c r="B202" s="42" t="s">
        <v>30</v>
      </c>
      <c r="C202" s="42" t="s">
        <v>462</v>
      </c>
      <c r="D202" s="41">
        <v>45188</v>
      </c>
      <c r="E202" s="41">
        <v>45183</v>
      </c>
      <c r="G202" s="43" t="s">
        <v>463</v>
      </c>
      <c r="H202" s="43" t="s">
        <v>463</v>
      </c>
      <c r="I202" s="43" t="s">
        <v>464</v>
      </c>
      <c r="J202" s="43" t="s">
        <v>11</v>
      </c>
      <c r="K202" s="43" t="s">
        <v>465</v>
      </c>
      <c r="L202" s="44" t="str">
        <f>IF(Tabla2[[#This Row],[Fecha de Resp]]&gt;Tabla2[[#This Row],[Fecha MAX de Resp]],"Retrasado",IF(Tabla2[[#This Row],[Fecha de Resp]]=0,"Pendiente",IF(Tabla2[[#This Row],[Fecha de Resp]]&lt;=Tabla2[[#This Row],[Fecha MAX de Resp]],"A Tiempo",0)))</f>
        <v>A Tiempo</v>
      </c>
      <c r="M202" s="45">
        <v>45183</v>
      </c>
      <c r="N202" s="44" t="s">
        <v>466</v>
      </c>
      <c r="O202" s="48" t="b">
        <f>EXACT(Tabla2[[#This Row],[Fecha de Recibido]],Tabla2[[#This Row],[Fecha MAX de Resp]])</f>
        <v>0</v>
      </c>
      <c r="P202" s="48" t="b">
        <f>EXACT(Tabla2[[#This Row],[Fecha de Recibido]],Tabla2[[#This Row],[Fecha de Resp]])</f>
        <v>0</v>
      </c>
      <c r="Q202" s="45">
        <f>DATE(YEAR(Tabla2[[#This Row],[Fecha de Recibido]]),MONTH(Tabla2[[#This Row],[Fecha de Recibido]]),1)</f>
        <v>45170</v>
      </c>
      <c r="R202" s="45" t="s">
        <v>63</v>
      </c>
    </row>
    <row r="203" spans="1:18" ht="37.5" customHeight="1">
      <c r="A203" s="63">
        <v>45182</v>
      </c>
      <c r="B203" s="42" t="s">
        <v>30</v>
      </c>
      <c r="C203" s="42" t="s">
        <v>467</v>
      </c>
      <c r="D203" s="41">
        <v>45188</v>
      </c>
      <c r="E203" s="41">
        <v>45183</v>
      </c>
      <c r="G203" s="43" t="s">
        <v>468</v>
      </c>
      <c r="H203" s="43" t="s">
        <v>468</v>
      </c>
      <c r="I203" s="43" t="s">
        <v>464</v>
      </c>
      <c r="J203" s="43" t="s">
        <v>14</v>
      </c>
      <c r="K203" s="43" t="s">
        <v>465</v>
      </c>
      <c r="L203" s="44" t="str">
        <f>IF(Tabla2[[#This Row],[Fecha de Resp]]&gt;Tabla2[[#This Row],[Fecha MAX de Resp]],"Retrasado",IF(Tabla2[[#This Row],[Fecha de Resp]]=0,"Pendiente",IF(Tabla2[[#This Row],[Fecha de Resp]]&lt;=Tabla2[[#This Row],[Fecha MAX de Resp]],"A Tiempo",0)))</f>
        <v>A Tiempo</v>
      </c>
      <c r="M203" s="43"/>
      <c r="N203" s="44"/>
      <c r="O203" s="48" t="b">
        <f>EXACT(Tabla2[[#This Row],[Fecha de Recibido]],Tabla2[[#This Row],[Fecha MAX de Resp]])</f>
        <v>0</v>
      </c>
      <c r="P203" s="48" t="b">
        <f>EXACT(Tabla2[[#This Row],[Fecha de Recibido]],Tabla2[[#This Row],[Fecha de Resp]])</f>
        <v>0</v>
      </c>
      <c r="Q203" s="45">
        <f>DATE(YEAR(Tabla2[[#This Row],[Fecha de Recibido]]),MONTH(Tabla2[[#This Row],[Fecha de Recibido]]),1)</f>
        <v>45170</v>
      </c>
      <c r="R203" s="45" t="s">
        <v>63</v>
      </c>
    </row>
    <row r="204" spans="1:18" ht="57" customHeight="1">
      <c r="A204" s="63">
        <v>45182</v>
      </c>
      <c r="B204" s="42" t="s">
        <v>30</v>
      </c>
      <c r="C204" s="42" t="s">
        <v>469</v>
      </c>
      <c r="D204" s="41">
        <v>45188</v>
      </c>
      <c r="E204" s="41">
        <v>45183</v>
      </c>
      <c r="G204" s="43" t="s">
        <v>470</v>
      </c>
      <c r="H204" s="43" t="s">
        <v>470</v>
      </c>
      <c r="I204" s="43" t="s">
        <v>464</v>
      </c>
      <c r="J204" s="43" t="s">
        <v>8</v>
      </c>
      <c r="K204" s="43" t="s">
        <v>465</v>
      </c>
      <c r="L204" s="44" t="str">
        <f>IF(Tabla2[[#This Row],[Fecha de Resp]]&gt;Tabla2[[#This Row],[Fecha MAX de Resp]],"Retrasado",IF(Tabla2[[#This Row],[Fecha de Resp]]=0,"Pendiente",IF(Tabla2[[#This Row],[Fecha de Resp]]&lt;=Tabla2[[#This Row],[Fecha MAX de Resp]],"A Tiempo",0)))</f>
        <v>A Tiempo</v>
      </c>
      <c r="M204" s="43"/>
      <c r="N204" s="44"/>
      <c r="O204" s="48" t="b">
        <f>EXACT(Tabla2[[#This Row],[Fecha de Recibido]],Tabla2[[#This Row],[Fecha MAX de Resp]])</f>
        <v>0</v>
      </c>
      <c r="P204" s="48" t="b">
        <f>EXACT(Tabla2[[#This Row],[Fecha de Recibido]],Tabla2[[#This Row],[Fecha de Resp]])</f>
        <v>0</v>
      </c>
      <c r="Q204" s="45">
        <f>DATE(YEAR(Tabla2[[#This Row],[Fecha de Recibido]]),MONTH(Tabla2[[#This Row],[Fecha de Recibido]]),1)</f>
        <v>45170</v>
      </c>
      <c r="R204" s="45" t="s">
        <v>63</v>
      </c>
    </row>
    <row r="205" spans="1:18" ht="37.5" customHeight="1">
      <c r="A205" s="63">
        <v>45182</v>
      </c>
      <c r="B205" s="42" t="s">
        <v>30</v>
      </c>
      <c r="C205" s="42" t="s">
        <v>471</v>
      </c>
      <c r="D205" s="41">
        <v>45188</v>
      </c>
      <c r="E205" s="41">
        <v>45183</v>
      </c>
      <c r="G205" s="43" t="s">
        <v>472</v>
      </c>
      <c r="H205" s="43" t="s">
        <v>472</v>
      </c>
      <c r="I205" s="43" t="s">
        <v>464</v>
      </c>
      <c r="J205" s="43" t="s">
        <v>3</v>
      </c>
      <c r="K205" s="43" t="s">
        <v>465</v>
      </c>
      <c r="L205" s="44" t="str">
        <f>IF(Tabla2[[#This Row],[Fecha de Resp]]&gt;Tabla2[[#This Row],[Fecha MAX de Resp]],"Retrasado",IF(Tabla2[[#This Row],[Fecha de Resp]]=0,"Pendiente",IF(Tabla2[[#This Row],[Fecha de Resp]]&lt;=Tabla2[[#This Row],[Fecha MAX de Resp]],"A Tiempo",0)))</f>
        <v>A Tiempo</v>
      </c>
      <c r="M205" s="43"/>
      <c r="N205" s="44"/>
      <c r="O205" s="48" t="b">
        <f>EXACT(Tabla2[[#This Row],[Fecha de Recibido]],Tabla2[[#This Row],[Fecha MAX de Resp]])</f>
        <v>0</v>
      </c>
      <c r="P205" s="48" t="b">
        <f>EXACT(Tabla2[[#This Row],[Fecha de Recibido]],Tabla2[[#This Row],[Fecha de Resp]])</f>
        <v>0</v>
      </c>
      <c r="Q205" s="45">
        <f>DATE(YEAR(Tabla2[[#This Row],[Fecha de Recibido]]),MONTH(Tabla2[[#This Row],[Fecha de Recibido]]),1)</f>
        <v>45170</v>
      </c>
      <c r="R205" s="45" t="s">
        <v>63</v>
      </c>
    </row>
    <row r="206" spans="1:18" ht="37.5" customHeight="1">
      <c r="A206" s="63">
        <v>45180</v>
      </c>
      <c r="B206" s="42" t="s">
        <v>40</v>
      </c>
      <c r="C206" s="42" t="s">
        <v>473</v>
      </c>
      <c r="D206" s="41">
        <v>45184</v>
      </c>
      <c r="E206" s="41">
        <v>45183</v>
      </c>
      <c r="G206" s="43" t="s">
        <v>474</v>
      </c>
      <c r="H206" s="43" t="s">
        <v>474</v>
      </c>
      <c r="I206" s="43"/>
      <c r="J206" s="43" t="s">
        <v>3</v>
      </c>
      <c r="K206" s="43" t="s">
        <v>465</v>
      </c>
      <c r="L206" s="44" t="str">
        <f>IF(Tabla2[[#This Row],[Fecha de Resp]]&gt;Tabla2[[#This Row],[Fecha MAX de Resp]],"Retrasado",IF(Tabla2[[#This Row],[Fecha de Resp]]=0,"Pendiente",IF(Tabla2[[#This Row],[Fecha de Resp]]&lt;=Tabla2[[#This Row],[Fecha MAX de Resp]],"A Tiempo",0)))</f>
        <v>A Tiempo</v>
      </c>
      <c r="M206" s="48"/>
      <c r="N206" s="48"/>
      <c r="O206" s="48" t="b">
        <f>EXACT(Tabla2[[#This Row],[Fecha de Recibido]],Tabla2[[#This Row],[Fecha MAX de Resp]])</f>
        <v>0</v>
      </c>
      <c r="P206" s="48" t="b">
        <f>EXACT(Tabla2[[#This Row],[Fecha de Recibido]],Tabla2[[#This Row],[Fecha de Resp]])</f>
        <v>0</v>
      </c>
      <c r="Q206" s="45">
        <f>DATE(YEAR(Tabla2[[#This Row],[Fecha de Recibido]]),MONTH(Tabla2[[#This Row],[Fecha de Recibido]]),1)</f>
        <v>45170</v>
      </c>
      <c r="R206" s="45" t="s">
        <v>63</v>
      </c>
    </row>
    <row r="207" spans="1:18" ht="37.5" customHeight="1">
      <c r="A207" s="63">
        <v>45180</v>
      </c>
      <c r="B207" s="42" t="s">
        <v>40</v>
      </c>
      <c r="C207" s="42" t="s">
        <v>475</v>
      </c>
      <c r="D207" s="41">
        <v>45184</v>
      </c>
      <c r="E207" s="41">
        <v>45183</v>
      </c>
      <c r="G207" s="43" t="s">
        <v>476</v>
      </c>
      <c r="H207" s="43" t="s">
        <v>476</v>
      </c>
      <c r="I207" s="43"/>
      <c r="J207" s="43" t="s">
        <v>8</v>
      </c>
      <c r="K207" s="43" t="s">
        <v>465</v>
      </c>
      <c r="L207" s="44" t="str">
        <f>IF(Tabla2[[#This Row],[Fecha de Resp]]&gt;Tabla2[[#This Row],[Fecha MAX de Resp]],"Retrasado",IF(Tabla2[[#This Row],[Fecha de Resp]]=0,"Pendiente",IF(Tabla2[[#This Row],[Fecha de Resp]]&lt;=Tabla2[[#This Row],[Fecha MAX de Resp]],"A Tiempo",0)))</f>
        <v>A Tiempo</v>
      </c>
      <c r="M207" s="45">
        <v>45183</v>
      </c>
      <c r="N207" s="44" t="s">
        <v>477</v>
      </c>
      <c r="O207" s="48" t="b">
        <f>EXACT(Tabla2[[#This Row],[Fecha de Recibido]],Tabla2[[#This Row],[Fecha MAX de Resp]])</f>
        <v>0</v>
      </c>
      <c r="P207" s="48" t="b">
        <f>EXACT(Tabla2[[#This Row],[Fecha de Recibido]],Tabla2[[#This Row],[Fecha de Resp]])</f>
        <v>0</v>
      </c>
      <c r="Q207" s="45">
        <f>DATE(YEAR(Tabla2[[#This Row],[Fecha de Recibido]]),MONTH(Tabla2[[#This Row],[Fecha de Recibido]]),1)</f>
        <v>45170</v>
      </c>
      <c r="R207" s="45" t="s">
        <v>63</v>
      </c>
    </row>
    <row r="208" spans="1:18" ht="46.5" customHeight="1">
      <c r="A208" s="63">
        <v>45180</v>
      </c>
      <c r="B208" s="42" t="s">
        <v>40</v>
      </c>
      <c r="C208" s="42" t="s">
        <v>478</v>
      </c>
      <c r="D208" s="41">
        <v>45184</v>
      </c>
      <c r="E208" s="41">
        <v>45183</v>
      </c>
      <c r="G208" s="43" t="s">
        <v>479</v>
      </c>
      <c r="H208" s="43" t="s">
        <v>479</v>
      </c>
      <c r="I208" s="43"/>
      <c r="J208" s="43" t="s">
        <v>14</v>
      </c>
      <c r="K208" s="43" t="s">
        <v>465</v>
      </c>
      <c r="L208" s="44" t="str">
        <f>IF(Tabla2[[#This Row],[Fecha de Resp]]&gt;Tabla2[[#This Row],[Fecha MAX de Resp]],"Retrasado",IF(Tabla2[[#This Row],[Fecha de Resp]]=0,"Pendiente",IF(Tabla2[[#This Row],[Fecha de Resp]]&lt;=Tabla2[[#This Row],[Fecha MAX de Resp]],"A Tiempo",0)))</f>
        <v>A Tiempo</v>
      </c>
      <c r="M208" s="45">
        <v>45183</v>
      </c>
      <c r="N208" s="44" t="s">
        <v>480</v>
      </c>
      <c r="O208" s="48" t="b">
        <f>EXACT(Tabla2[[#This Row],[Fecha de Recibido]],Tabla2[[#This Row],[Fecha MAX de Resp]])</f>
        <v>0</v>
      </c>
      <c r="P208" s="48" t="b">
        <f>EXACT(Tabla2[[#This Row],[Fecha de Recibido]],Tabla2[[#This Row],[Fecha de Resp]])</f>
        <v>0</v>
      </c>
      <c r="Q208" s="45">
        <f>DATE(YEAR(Tabla2[[#This Row],[Fecha de Recibido]]),MONTH(Tabla2[[#This Row],[Fecha de Recibido]]),1)</f>
        <v>45170</v>
      </c>
      <c r="R208" s="45" t="s">
        <v>63</v>
      </c>
    </row>
    <row r="209" spans="1:18" ht="37.5" customHeight="1">
      <c r="A209" s="63">
        <v>45180</v>
      </c>
      <c r="B209" s="42" t="s">
        <v>40</v>
      </c>
      <c r="C209" s="42" t="s">
        <v>481</v>
      </c>
      <c r="D209" s="41">
        <v>45184</v>
      </c>
      <c r="E209" s="41">
        <v>45183</v>
      </c>
      <c r="G209" s="43" t="s">
        <v>482</v>
      </c>
      <c r="H209" s="43" t="s">
        <v>482</v>
      </c>
      <c r="I209" s="43"/>
      <c r="J209" s="43" t="s">
        <v>11</v>
      </c>
      <c r="K209" s="43" t="s">
        <v>465</v>
      </c>
      <c r="L209" s="44" t="str">
        <f>IF(Tabla2[[#This Row],[Fecha de Resp]]&gt;Tabla2[[#This Row],[Fecha MAX de Resp]],"Retrasado",IF(Tabla2[[#This Row],[Fecha de Resp]]=0,"Pendiente",IF(Tabla2[[#This Row],[Fecha de Resp]]&lt;=Tabla2[[#This Row],[Fecha MAX de Resp]],"A Tiempo",0)))</f>
        <v>A Tiempo</v>
      </c>
      <c r="M209" s="45">
        <v>45183</v>
      </c>
      <c r="N209" s="44" t="s">
        <v>483</v>
      </c>
      <c r="O209" s="48" t="b">
        <f>EXACT(Tabla2[[#This Row],[Fecha de Recibido]],Tabla2[[#This Row],[Fecha MAX de Resp]])</f>
        <v>0</v>
      </c>
      <c r="P209" s="48" t="b">
        <f>EXACT(Tabla2[[#This Row],[Fecha de Recibido]],Tabla2[[#This Row],[Fecha de Resp]])</f>
        <v>0</v>
      </c>
      <c r="Q209" s="45">
        <f>DATE(YEAR(Tabla2[[#This Row],[Fecha de Recibido]]),MONTH(Tabla2[[#This Row],[Fecha de Recibido]]),1)</f>
        <v>45170</v>
      </c>
      <c r="R209" s="45" t="s">
        <v>63</v>
      </c>
    </row>
    <row r="210" spans="1:18" ht="37.5" customHeight="1">
      <c r="A210" s="63">
        <v>45180</v>
      </c>
      <c r="B210" s="42" t="s">
        <v>17</v>
      </c>
      <c r="C210" s="42" t="s">
        <v>484</v>
      </c>
      <c r="D210" s="41">
        <v>45183</v>
      </c>
      <c r="E210" s="41">
        <v>45183</v>
      </c>
      <c r="G210" s="43" t="s">
        <v>485</v>
      </c>
      <c r="H210" s="43"/>
      <c r="I210" s="43" t="s">
        <v>486</v>
      </c>
      <c r="J210" s="43" t="s">
        <v>3</v>
      </c>
      <c r="K210" s="43" t="s">
        <v>4</v>
      </c>
      <c r="L210" s="44" t="str">
        <f>IF(Tabla2[[#This Row],[Fecha de Resp]]&gt;Tabla2[[#This Row],[Fecha MAX de Resp]],"Retrasado",IF(Tabla2[[#This Row],[Fecha de Resp]]=0,"Pendiente",IF(Tabla2[[#This Row],[Fecha de Resp]]&lt;=Tabla2[[#This Row],[Fecha MAX de Resp]],"A Tiempo",0)))</f>
        <v>A Tiempo</v>
      </c>
      <c r="M210" s="43"/>
      <c r="N210" s="44"/>
      <c r="O210" s="48" t="b">
        <f>EXACT(Tabla2[[#This Row],[Fecha de Recibido]],Tabla2[[#This Row],[Fecha MAX de Resp]])</f>
        <v>0</v>
      </c>
      <c r="P210" s="48" t="b">
        <f>EXACT(Tabla2[[#This Row],[Fecha de Recibido]],Tabla2[[#This Row],[Fecha de Resp]])</f>
        <v>0</v>
      </c>
      <c r="Q210" s="45">
        <f>DATE(YEAR(Tabla2[[#This Row],[Fecha de Recibido]]),MONTH(Tabla2[[#This Row],[Fecha de Recibido]]),1)</f>
        <v>45170</v>
      </c>
      <c r="R210" s="45" t="s">
        <v>63</v>
      </c>
    </row>
    <row r="211" spans="1:18" ht="37.5" customHeight="1">
      <c r="A211" s="63">
        <v>45179</v>
      </c>
      <c r="B211" s="42" t="s">
        <v>32</v>
      </c>
      <c r="C211" s="42" t="s">
        <v>487</v>
      </c>
      <c r="D211" s="41">
        <v>45184</v>
      </c>
      <c r="E211" s="41">
        <v>45181</v>
      </c>
      <c r="G211" s="59" t="s">
        <v>488</v>
      </c>
      <c r="H211" s="48" t="s">
        <v>488</v>
      </c>
      <c r="I211" s="48" t="s">
        <v>489</v>
      </c>
      <c r="J211" s="43" t="s">
        <v>3</v>
      </c>
      <c r="K211" s="43" t="s">
        <v>352</v>
      </c>
      <c r="L211" s="44" t="str">
        <f>IF(Tabla2[[#This Row],[Fecha de Resp]]&gt;Tabla2[[#This Row],[Fecha MAX de Resp]],"Retrasado",IF(Tabla2[[#This Row],[Fecha de Resp]]=0,"Pendiente",IF(Tabla2[[#This Row],[Fecha de Resp]]&lt;=Tabla2[[#This Row],[Fecha MAX de Resp]],"A Tiempo",0)))</f>
        <v>A Tiempo</v>
      </c>
      <c r="M211" s="48"/>
      <c r="N211" s="48"/>
      <c r="O211" s="48" t="b">
        <f>EXACT(Tabla2[[#This Row],[Fecha de Recibido]],Tabla2[[#This Row],[Fecha MAX de Resp]])</f>
        <v>0</v>
      </c>
      <c r="P211" s="48" t="b">
        <f>EXACT(Tabla2[[#This Row],[Fecha de Recibido]],Tabla2[[#This Row],[Fecha de Resp]])</f>
        <v>0</v>
      </c>
      <c r="Q211" s="45">
        <f>DATE(YEAR(Tabla2[[#This Row],[Fecha de Recibido]]),MONTH(Tabla2[[#This Row],[Fecha de Recibido]]),1)</f>
        <v>45170</v>
      </c>
      <c r="R211" s="45" t="s">
        <v>63</v>
      </c>
    </row>
    <row r="212" spans="1:18" ht="37.5" customHeight="1">
      <c r="A212" s="63">
        <v>45179</v>
      </c>
      <c r="B212" s="42" t="s">
        <v>32</v>
      </c>
      <c r="C212" s="42" t="s">
        <v>490</v>
      </c>
      <c r="D212" s="41">
        <v>45184</v>
      </c>
      <c r="E212" s="41">
        <v>45181</v>
      </c>
      <c r="G212" s="43" t="s">
        <v>491</v>
      </c>
      <c r="H212" s="43" t="s">
        <v>491</v>
      </c>
      <c r="I212" s="48" t="s">
        <v>489</v>
      </c>
      <c r="J212" s="43" t="s">
        <v>11</v>
      </c>
      <c r="K212" s="43" t="s">
        <v>352</v>
      </c>
      <c r="L212" s="44" t="str">
        <f>IF(Tabla2[[#This Row],[Fecha de Resp]]&gt;Tabla2[[#This Row],[Fecha MAX de Resp]],"Retrasado",IF(Tabla2[[#This Row],[Fecha de Resp]]=0,"Pendiente",IF(Tabla2[[#This Row],[Fecha de Resp]]&lt;=Tabla2[[#This Row],[Fecha MAX de Resp]],"A Tiempo",0)))</f>
        <v>A Tiempo</v>
      </c>
      <c r="M212" s="48"/>
      <c r="N212" s="48"/>
      <c r="O212" s="48" t="b">
        <f>EXACT(Tabla2[[#This Row],[Fecha de Recibido]],Tabla2[[#This Row],[Fecha MAX de Resp]])</f>
        <v>0</v>
      </c>
      <c r="P212" s="48" t="b">
        <f>EXACT(Tabla2[[#This Row],[Fecha de Recibido]],Tabla2[[#This Row],[Fecha de Resp]])</f>
        <v>0</v>
      </c>
      <c r="Q212" s="45">
        <f>DATE(YEAR(Tabla2[[#This Row],[Fecha de Recibido]]),MONTH(Tabla2[[#This Row],[Fecha de Recibido]]),1)</f>
        <v>45170</v>
      </c>
      <c r="R212" s="45" t="s">
        <v>63</v>
      </c>
    </row>
    <row r="213" spans="1:18" ht="37.5" customHeight="1">
      <c r="A213" s="63">
        <v>45179</v>
      </c>
      <c r="B213" s="42" t="s">
        <v>32</v>
      </c>
      <c r="C213" s="42" t="s">
        <v>492</v>
      </c>
      <c r="D213" s="41">
        <v>45184</v>
      </c>
      <c r="E213" s="41">
        <v>45181</v>
      </c>
      <c r="G213" s="48" t="s">
        <v>493</v>
      </c>
      <c r="H213" s="48" t="s">
        <v>493</v>
      </c>
      <c r="I213" s="48" t="s">
        <v>489</v>
      </c>
      <c r="J213" s="43" t="s">
        <v>3</v>
      </c>
      <c r="K213" s="43" t="s">
        <v>352</v>
      </c>
      <c r="L213" s="44" t="str">
        <f>IF(Tabla2[[#This Row],[Fecha de Resp]]&gt;Tabla2[[#This Row],[Fecha MAX de Resp]],"Retrasado",IF(Tabla2[[#This Row],[Fecha de Resp]]=0,"Pendiente",IF(Tabla2[[#This Row],[Fecha de Resp]]&lt;=Tabla2[[#This Row],[Fecha MAX de Resp]],"A Tiempo",0)))</f>
        <v>A Tiempo</v>
      </c>
      <c r="M213" s="48"/>
      <c r="N213" s="48"/>
      <c r="O213" s="48" t="b">
        <f>EXACT(Tabla2[[#This Row],[Fecha de Recibido]],Tabla2[[#This Row],[Fecha MAX de Resp]])</f>
        <v>0</v>
      </c>
      <c r="P213" s="48" t="b">
        <f>EXACT(Tabla2[[#This Row],[Fecha de Recibido]],Tabla2[[#This Row],[Fecha de Resp]])</f>
        <v>0</v>
      </c>
      <c r="Q213" s="45">
        <f>DATE(YEAR(Tabla2[[#This Row],[Fecha de Recibido]]),MONTH(Tabla2[[#This Row],[Fecha de Recibido]]),1)</f>
        <v>45170</v>
      </c>
      <c r="R213" s="45" t="s">
        <v>63</v>
      </c>
    </row>
    <row r="214" spans="1:18" ht="37.5" customHeight="1">
      <c r="A214" s="63">
        <v>45174</v>
      </c>
      <c r="B214" s="42" t="s">
        <v>32</v>
      </c>
      <c r="C214" s="42" t="s">
        <v>494</v>
      </c>
      <c r="D214" s="58">
        <v>45174</v>
      </c>
      <c r="E214" s="58">
        <v>45174</v>
      </c>
      <c r="G214" s="43" t="s">
        <v>495</v>
      </c>
      <c r="H214" s="43" t="s">
        <v>495</v>
      </c>
      <c r="I214" s="48"/>
      <c r="J214" s="43" t="s">
        <v>3</v>
      </c>
      <c r="K214" s="43" t="s">
        <v>9</v>
      </c>
      <c r="L214" s="44" t="str">
        <f>IF(Tabla2[[#This Row],[Fecha de Resp]]&gt;Tabla2[[#This Row],[Fecha MAX de Resp]],"Retrasado",IF(Tabla2[[#This Row],[Fecha de Resp]]=0,"Pendiente",IF(Tabla2[[#This Row],[Fecha de Resp]]&lt;=Tabla2[[#This Row],[Fecha MAX de Resp]],"A Tiempo",0)))</f>
        <v>A Tiempo</v>
      </c>
      <c r="M214" s="45">
        <v>45175</v>
      </c>
      <c r="N214" s="44" t="s">
        <v>496</v>
      </c>
      <c r="O214" s="48" t="b">
        <f>EXACT(Tabla2[[#This Row],[Fecha de Recibido]],Tabla2[[#This Row],[Fecha MAX de Resp]])</f>
        <v>1</v>
      </c>
      <c r="P214" s="48" t="b">
        <f>EXACT(Tabla2[[#This Row],[Fecha de Recibido]],Tabla2[[#This Row],[Fecha de Resp]])</f>
        <v>1</v>
      </c>
      <c r="Q214" s="45">
        <f>DATE(YEAR(Tabla2[[#This Row],[Fecha de Recibido]]),MONTH(Tabla2[[#This Row],[Fecha de Recibido]]),1)</f>
        <v>45170</v>
      </c>
      <c r="R214" s="45" t="s">
        <v>63</v>
      </c>
    </row>
    <row r="215" spans="1:18" ht="37.5" customHeight="1">
      <c r="A215" s="63">
        <v>45174</v>
      </c>
      <c r="B215" s="42" t="s">
        <v>32</v>
      </c>
      <c r="C215" s="42" t="s">
        <v>497</v>
      </c>
      <c r="D215" s="58">
        <v>45174</v>
      </c>
      <c r="E215" s="58">
        <v>45174</v>
      </c>
      <c r="G215" s="43" t="s">
        <v>498</v>
      </c>
      <c r="H215" s="43" t="s">
        <v>498</v>
      </c>
      <c r="I215" s="48"/>
      <c r="J215" s="43" t="s">
        <v>8</v>
      </c>
      <c r="K215" s="43" t="s">
        <v>9</v>
      </c>
      <c r="L215" s="44" t="str">
        <f>IF(Tabla2[[#This Row],[Fecha de Resp]]&gt;Tabla2[[#This Row],[Fecha MAX de Resp]],"Retrasado",IF(Tabla2[[#This Row],[Fecha de Resp]]=0,"Pendiente",IF(Tabla2[[#This Row],[Fecha de Resp]]&lt;=Tabla2[[#This Row],[Fecha MAX de Resp]],"A Tiempo",0)))</f>
        <v>A Tiempo</v>
      </c>
      <c r="M215" s="45">
        <v>45175</v>
      </c>
      <c r="N215" s="44" t="s">
        <v>499</v>
      </c>
      <c r="O215" s="48" t="b">
        <f>EXACT(Tabla2[[#This Row],[Fecha de Recibido]],Tabla2[[#This Row],[Fecha MAX de Resp]])</f>
        <v>1</v>
      </c>
      <c r="P215" s="48" t="b">
        <f>EXACT(Tabla2[[#This Row],[Fecha de Recibido]],Tabla2[[#This Row],[Fecha de Resp]])</f>
        <v>1</v>
      </c>
      <c r="Q215" s="45">
        <f>DATE(YEAR(Tabla2[[#This Row],[Fecha de Recibido]]),MONTH(Tabla2[[#This Row],[Fecha de Recibido]]),1)</f>
        <v>45170</v>
      </c>
      <c r="R215" s="45" t="s">
        <v>63</v>
      </c>
    </row>
    <row r="216" spans="1:18" ht="37.5" customHeight="1">
      <c r="A216" s="63">
        <v>45173</v>
      </c>
      <c r="B216" s="42" t="s">
        <v>30</v>
      </c>
      <c r="C216" s="42" t="s">
        <v>500</v>
      </c>
      <c r="D216" s="41">
        <v>45186</v>
      </c>
      <c r="E216" s="41">
        <v>45186</v>
      </c>
      <c r="G216" s="43" t="s">
        <v>501</v>
      </c>
      <c r="H216" s="43"/>
      <c r="I216" s="43"/>
      <c r="J216" s="43" t="s">
        <v>3</v>
      </c>
      <c r="K216" s="43" t="s">
        <v>360</v>
      </c>
      <c r="L216" s="44" t="str">
        <f>IF(Tabla2[[#This Row],[Fecha de Resp]]&gt;Tabla2[[#This Row],[Fecha MAX de Resp]],"Retrasado",IF(Tabla2[[#This Row],[Fecha de Resp]]=0,"Pendiente",IF(Tabla2[[#This Row],[Fecha de Resp]]&lt;=Tabla2[[#This Row],[Fecha MAX de Resp]],"A Tiempo",0)))</f>
        <v>A Tiempo</v>
      </c>
      <c r="M216" s="43"/>
      <c r="N216" s="44"/>
      <c r="O216" s="48" t="b">
        <f>EXACT(Tabla2[[#This Row],[Fecha de Recibido]],Tabla2[[#This Row],[Fecha MAX de Resp]])</f>
        <v>0</v>
      </c>
      <c r="P216" s="48" t="b">
        <f>EXACT(Tabla2[[#This Row],[Fecha de Recibido]],Tabla2[[#This Row],[Fecha de Resp]])</f>
        <v>0</v>
      </c>
      <c r="Q216" s="45">
        <f>DATE(YEAR(Tabla2[[#This Row],[Fecha de Recibido]]),MONTH(Tabla2[[#This Row],[Fecha de Recibido]]),1)</f>
        <v>45170</v>
      </c>
      <c r="R216" s="45" t="s">
        <v>63</v>
      </c>
    </row>
    <row r="217" spans="1:18" ht="37.5" customHeight="1">
      <c r="A217" s="63">
        <v>45170</v>
      </c>
      <c r="B217" s="42" t="s">
        <v>32</v>
      </c>
      <c r="C217" s="42" t="s">
        <v>502</v>
      </c>
      <c r="D217" s="41">
        <v>45174</v>
      </c>
      <c r="E217" s="41">
        <v>45174</v>
      </c>
      <c r="G217" s="43" t="s">
        <v>503</v>
      </c>
      <c r="H217" s="43" t="s">
        <v>503</v>
      </c>
      <c r="I217" s="43" t="s">
        <v>504</v>
      </c>
      <c r="J217" s="43" t="s">
        <v>3</v>
      </c>
      <c r="K217" s="43" t="s">
        <v>12</v>
      </c>
      <c r="L217" s="44" t="str">
        <f>IF(Tabla2[[#This Row],[Fecha de Resp]]&gt;Tabla2[[#This Row],[Fecha MAX de Resp]],"Retrasado",IF(Tabla2[[#This Row],[Fecha de Resp]]=0,"Pendiente",IF(Tabla2[[#This Row],[Fecha de Resp]]&lt;=Tabla2[[#This Row],[Fecha MAX de Resp]],"A Tiempo",0)))</f>
        <v>A Tiempo</v>
      </c>
      <c r="M217" s="48"/>
      <c r="N217" s="48"/>
      <c r="O217" s="48" t="b">
        <f>EXACT(Tabla2[[#This Row],[Fecha de Recibido]],Tabla2[[#This Row],[Fecha MAX de Resp]])</f>
        <v>0</v>
      </c>
      <c r="P217" s="48" t="b">
        <f>EXACT(Tabla2[[#This Row],[Fecha de Recibido]],Tabla2[[#This Row],[Fecha de Resp]])</f>
        <v>0</v>
      </c>
      <c r="Q217" s="45">
        <f>DATE(YEAR(Tabla2[[#This Row],[Fecha de Recibido]]),MONTH(Tabla2[[#This Row],[Fecha de Recibido]]),1)</f>
        <v>45170</v>
      </c>
      <c r="R217" s="45" t="s">
        <v>63</v>
      </c>
    </row>
    <row r="218" spans="1:18" ht="37.5" customHeight="1">
      <c r="A218" s="63">
        <v>45170</v>
      </c>
      <c r="B218" s="42" t="s">
        <v>30</v>
      </c>
      <c r="C218" s="42" t="s">
        <v>505</v>
      </c>
      <c r="D218" s="58">
        <v>45170</v>
      </c>
      <c r="E218" s="58">
        <v>45170</v>
      </c>
      <c r="G218" s="43" t="s">
        <v>506</v>
      </c>
      <c r="H218" s="43" t="s">
        <v>506</v>
      </c>
      <c r="I218" s="43"/>
      <c r="J218" s="43" t="s">
        <v>11</v>
      </c>
      <c r="K218" s="43" t="s">
        <v>9</v>
      </c>
      <c r="L218" s="44" t="str">
        <f>IF(Tabla2[[#This Row],[Fecha de Resp]]&gt;Tabla2[[#This Row],[Fecha MAX de Resp]],"Retrasado",IF(Tabla2[[#This Row],[Fecha de Resp]]=0,"Pendiente",IF(Tabla2[[#This Row],[Fecha de Resp]]&lt;=Tabla2[[#This Row],[Fecha MAX de Resp]],"A Tiempo",0)))</f>
        <v>A Tiempo</v>
      </c>
      <c r="M218" s="43"/>
      <c r="N218" s="44"/>
      <c r="O218" s="48" t="b">
        <f>EXACT(Tabla2[[#This Row],[Fecha de Recibido]],Tabla2[[#This Row],[Fecha MAX de Resp]])</f>
        <v>1</v>
      </c>
      <c r="P218" s="48" t="b">
        <f>EXACT(Tabla2[[#This Row],[Fecha de Recibido]],Tabla2[[#This Row],[Fecha de Resp]])</f>
        <v>1</v>
      </c>
      <c r="Q218" s="45">
        <f>DATE(YEAR(Tabla2[[#This Row],[Fecha de Recibido]]),MONTH(Tabla2[[#This Row],[Fecha de Recibido]]),1)</f>
        <v>45170</v>
      </c>
      <c r="R218" s="45" t="s">
        <v>63</v>
      </c>
    </row>
    <row r="219" spans="1:18" ht="37.5" customHeight="1">
      <c r="A219" s="63">
        <v>45170</v>
      </c>
      <c r="B219" s="42" t="s">
        <v>30</v>
      </c>
      <c r="C219" s="42" t="s">
        <v>507</v>
      </c>
      <c r="D219" s="41">
        <v>45175</v>
      </c>
      <c r="E219" s="41">
        <v>45174</v>
      </c>
      <c r="G219" s="43" t="s">
        <v>508</v>
      </c>
      <c r="H219" s="43" t="s">
        <v>508</v>
      </c>
      <c r="I219" s="43"/>
      <c r="J219" s="43" t="s">
        <v>14</v>
      </c>
      <c r="K219" s="43" t="s">
        <v>9</v>
      </c>
      <c r="L219" s="44" t="str">
        <f>IF(Tabla2[[#This Row],[Fecha de Resp]]&gt;Tabla2[[#This Row],[Fecha MAX de Resp]],"Retrasado",IF(Tabla2[[#This Row],[Fecha de Resp]]=0,"Pendiente",IF(Tabla2[[#This Row],[Fecha de Resp]]&lt;=Tabla2[[#This Row],[Fecha MAX de Resp]],"A Tiempo",0)))</f>
        <v>A Tiempo</v>
      </c>
      <c r="M219" s="43"/>
      <c r="N219" s="44"/>
      <c r="O219" s="48" t="b">
        <f>EXACT(Tabla2[[#This Row],[Fecha de Recibido]],Tabla2[[#This Row],[Fecha MAX de Resp]])</f>
        <v>0</v>
      </c>
      <c r="P219" s="48" t="b">
        <f>EXACT(Tabla2[[#This Row],[Fecha de Recibido]],Tabla2[[#This Row],[Fecha de Resp]])</f>
        <v>0</v>
      </c>
      <c r="Q219" s="45">
        <f>DATE(YEAR(Tabla2[[#This Row],[Fecha de Recibido]]),MONTH(Tabla2[[#This Row],[Fecha de Recibido]]),1)</f>
        <v>45170</v>
      </c>
      <c r="R219" s="45" t="s">
        <v>63</v>
      </c>
    </row>
    <row r="220" spans="1:18" ht="42.75" customHeight="1">
      <c r="A220" s="63">
        <v>45170</v>
      </c>
      <c r="B220" s="42" t="s">
        <v>30</v>
      </c>
      <c r="C220" s="42" t="s">
        <v>509</v>
      </c>
      <c r="D220" s="41">
        <v>45175</v>
      </c>
      <c r="E220" s="41">
        <v>45175</v>
      </c>
      <c r="G220" s="43" t="s">
        <v>510</v>
      </c>
      <c r="H220" s="43" t="s">
        <v>510</v>
      </c>
      <c r="I220" s="43"/>
      <c r="J220" s="43" t="s">
        <v>8</v>
      </c>
      <c r="K220" s="43" t="s">
        <v>9</v>
      </c>
      <c r="L220" s="44" t="str">
        <f>IF(Tabla2[[#This Row],[Fecha de Resp]]&gt;Tabla2[[#This Row],[Fecha MAX de Resp]],"Retrasado",IF(Tabla2[[#This Row],[Fecha de Resp]]=0,"Pendiente",IF(Tabla2[[#This Row],[Fecha de Resp]]&lt;=Tabla2[[#This Row],[Fecha MAX de Resp]],"A Tiempo",0)))</f>
        <v>A Tiempo</v>
      </c>
      <c r="M220" s="43"/>
      <c r="N220" s="44"/>
      <c r="O220" s="48" t="b">
        <f>EXACT(Tabla2[[#This Row],[Fecha de Recibido]],Tabla2[[#This Row],[Fecha MAX de Resp]])</f>
        <v>0</v>
      </c>
      <c r="P220" s="48" t="b">
        <f>EXACT(Tabla2[[#This Row],[Fecha de Recibido]],Tabla2[[#This Row],[Fecha de Resp]])</f>
        <v>0</v>
      </c>
      <c r="Q220" s="45">
        <f>DATE(YEAR(Tabla2[[#This Row],[Fecha de Recibido]]),MONTH(Tabla2[[#This Row],[Fecha de Recibido]]),1)</f>
        <v>45170</v>
      </c>
      <c r="R220" s="45" t="s">
        <v>63</v>
      </c>
    </row>
    <row r="221" spans="1:18" ht="37.5" customHeight="1">
      <c r="A221" s="63">
        <v>45161</v>
      </c>
      <c r="B221" s="42" t="s">
        <v>17</v>
      </c>
      <c r="C221" s="42" t="s">
        <v>511</v>
      </c>
      <c r="D221" s="58">
        <v>45161</v>
      </c>
      <c r="E221" s="58">
        <v>45161</v>
      </c>
      <c r="G221" s="43" t="s">
        <v>512</v>
      </c>
      <c r="H221" s="43" t="s">
        <v>512</v>
      </c>
      <c r="I221" s="43"/>
      <c r="J221" s="43" t="s">
        <v>3</v>
      </c>
      <c r="K221" s="43" t="s">
        <v>12</v>
      </c>
      <c r="L221" s="44" t="str">
        <f>IF(Tabla2[[#This Row],[Fecha de Resp]]&gt;Tabla2[[#This Row],[Fecha MAX de Resp]],"Retrasado",IF(Tabla2[[#This Row],[Fecha de Resp]]=0,"Pendiente",IF(Tabla2[[#This Row],[Fecha de Resp]]&lt;=Tabla2[[#This Row],[Fecha MAX de Resp]],"A Tiempo",0)))</f>
        <v>A Tiempo</v>
      </c>
      <c r="M221" s="45">
        <v>45166</v>
      </c>
      <c r="N221" s="44" t="s">
        <v>513</v>
      </c>
      <c r="O221" s="48" t="b">
        <f>EXACT(Tabla2[[#This Row],[Fecha de Recibido]],Tabla2[[#This Row],[Fecha MAX de Resp]])</f>
        <v>1</v>
      </c>
      <c r="P221" s="48" t="b">
        <f>EXACT(Tabla2[[#This Row],[Fecha de Recibido]],Tabla2[[#This Row],[Fecha de Resp]])</f>
        <v>1</v>
      </c>
      <c r="Q221" s="45">
        <f>DATE(YEAR(Tabla2[[#This Row],[Fecha de Recibido]]),MONTH(Tabla2[[#This Row],[Fecha de Recibido]]),1)</f>
        <v>45139</v>
      </c>
      <c r="R221" s="45" t="s">
        <v>63</v>
      </c>
    </row>
    <row r="222" spans="1:18" ht="37.5" customHeight="1">
      <c r="A222" s="63">
        <v>45160</v>
      </c>
      <c r="B222" s="42" t="s">
        <v>32</v>
      </c>
      <c r="C222" s="42" t="s">
        <v>514</v>
      </c>
      <c r="D222" s="58">
        <v>45160</v>
      </c>
      <c r="E222" s="58">
        <v>45160</v>
      </c>
      <c r="G222" s="43" t="s">
        <v>515</v>
      </c>
      <c r="H222" s="43" t="s">
        <v>515</v>
      </c>
      <c r="I222" s="43"/>
      <c r="J222" s="43" t="s">
        <v>3</v>
      </c>
      <c r="K222" s="43" t="s">
        <v>9</v>
      </c>
      <c r="L222" s="44" t="str">
        <f>IF(Tabla2[[#This Row],[Fecha de Resp]]&gt;Tabla2[[#This Row],[Fecha MAX de Resp]],"Retrasado",IF(Tabla2[[#This Row],[Fecha de Resp]]=0,"Pendiente",IF(Tabla2[[#This Row],[Fecha de Resp]]&lt;=Tabla2[[#This Row],[Fecha MAX de Resp]],"A Tiempo",0)))</f>
        <v>A Tiempo</v>
      </c>
      <c r="M222" s="48"/>
      <c r="N222" s="48"/>
      <c r="O222" s="48" t="b">
        <f>EXACT(Tabla2[[#This Row],[Fecha de Recibido]],Tabla2[[#This Row],[Fecha MAX de Resp]])</f>
        <v>1</v>
      </c>
      <c r="P222" s="48" t="b">
        <f>EXACT(Tabla2[[#This Row],[Fecha de Recibido]],Tabla2[[#This Row],[Fecha de Resp]])</f>
        <v>1</v>
      </c>
      <c r="Q222" s="45">
        <f>DATE(YEAR(Tabla2[[#This Row],[Fecha de Recibido]]),MONTH(Tabla2[[#This Row],[Fecha de Recibido]]),1)</f>
        <v>45139</v>
      </c>
      <c r="R222" s="45" t="s">
        <v>63</v>
      </c>
    </row>
    <row r="223" spans="1:18" ht="37.5" customHeight="1">
      <c r="A223" s="63">
        <v>45160</v>
      </c>
      <c r="B223" s="42" t="s">
        <v>17</v>
      </c>
      <c r="C223" s="42" t="s">
        <v>516</v>
      </c>
      <c r="D223" s="58">
        <v>45160</v>
      </c>
      <c r="E223" s="58">
        <v>45160</v>
      </c>
      <c r="G223" s="43" t="s">
        <v>517</v>
      </c>
      <c r="H223" s="43" t="s">
        <v>517</v>
      </c>
      <c r="I223" s="43"/>
      <c r="J223" s="43" t="s">
        <v>3</v>
      </c>
      <c r="K223" s="43" t="s">
        <v>9</v>
      </c>
      <c r="L223" s="44" t="str">
        <f>IF(Tabla2[[#This Row],[Fecha de Resp]]&gt;Tabla2[[#This Row],[Fecha MAX de Resp]],"Retrasado",IF(Tabla2[[#This Row],[Fecha de Resp]]=0,"Pendiente",IF(Tabla2[[#This Row],[Fecha de Resp]]&lt;=Tabla2[[#This Row],[Fecha MAX de Resp]],"A Tiempo",0)))</f>
        <v>A Tiempo</v>
      </c>
      <c r="M223" s="43"/>
      <c r="N223" s="44"/>
      <c r="O223" s="48" t="b">
        <f>EXACT(Tabla2[[#This Row],[Fecha de Recibido]],Tabla2[[#This Row],[Fecha MAX de Resp]])</f>
        <v>1</v>
      </c>
      <c r="P223" s="48" t="b">
        <f>EXACT(Tabla2[[#This Row],[Fecha de Recibido]],Tabla2[[#This Row],[Fecha de Resp]])</f>
        <v>1</v>
      </c>
      <c r="Q223" s="45">
        <f>DATE(YEAR(Tabla2[[#This Row],[Fecha de Recibido]]),MONTH(Tabla2[[#This Row],[Fecha de Recibido]]),1)</f>
        <v>45139</v>
      </c>
      <c r="R223" s="45" t="s">
        <v>63</v>
      </c>
    </row>
    <row r="224" spans="1:18" ht="37.5" customHeight="1">
      <c r="A224" s="63">
        <v>45155</v>
      </c>
      <c r="B224" s="42" t="s">
        <v>17</v>
      </c>
      <c r="C224" s="42" t="s">
        <v>518</v>
      </c>
      <c r="D224" s="41">
        <v>45156</v>
      </c>
      <c r="E224" s="41">
        <v>45156</v>
      </c>
      <c r="G224" s="43" t="s">
        <v>519</v>
      </c>
      <c r="H224" s="43" t="s">
        <v>520</v>
      </c>
      <c r="I224" s="43"/>
      <c r="J224" s="43" t="s">
        <v>3</v>
      </c>
      <c r="K224" s="43" t="s">
        <v>12</v>
      </c>
      <c r="L224" s="44" t="str">
        <f>IF(Tabla2[[#This Row],[Fecha de Resp]]&gt;Tabla2[[#This Row],[Fecha MAX de Resp]],"Retrasado",IF(Tabla2[[#This Row],[Fecha de Resp]]=0,"Pendiente",IF(Tabla2[[#This Row],[Fecha de Resp]]&lt;=Tabla2[[#This Row],[Fecha MAX de Resp]],"A Tiempo",0)))</f>
        <v>A Tiempo</v>
      </c>
      <c r="M224" s="43"/>
      <c r="N224" s="44"/>
      <c r="O224" s="48" t="b">
        <f>EXACT(Tabla2[[#This Row],[Fecha de Recibido]],Tabla2[[#This Row],[Fecha MAX de Resp]])</f>
        <v>0</v>
      </c>
      <c r="P224" s="48" t="b">
        <f>EXACT(Tabla2[[#This Row],[Fecha de Recibido]],Tabla2[[#This Row],[Fecha de Resp]])</f>
        <v>0</v>
      </c>
      <c r="Q224" s="45">
        <f>DATE(YEAR(Tabla2[[#This Row],[Fecha de Recibido]]),MONTH(Tabla2[[#This Row],[Fecha de Recibido]]),1)</f>
        <v>45139</v>
      </c>
      <c r="R224" s="45" t="s">
        <v>63</v>
      </c>
    </row>
    <row r="225" spans="1:18" ht="37.5" customHeight="1">
      <c r="A225" s="63">
        <v>45155</v>
      </c>
      <c r="B225" s="42" t="s">
        <v>17</v>
      </c>
      <c r="C225" s="42" t="s">
        <v>521</v>
      </c>
      <c r="D225" s="41">
        <v>45156</v>
      </c>
      <c r="E225" s="41">
        <v>45156</v>
      </c>
      <c r="G225" s="43" t="s">
        <v>522</v>
      </c>
      <c r="H225" s="43" t="s">
        <v>523</v>
      </c>
      <c r="I225" s="43"/>
      <c r="J225" s="43" t="s">
        <v>11</v>
      </c>
      <c r="K225" s="43" t="s">
        <v>12</v>
      </c>
      <c r="L225" s="44" t="str">
        <f>IF(Tabla2[[#This Row],[Fecha de Resp]]&gt;Tabla2[[#This Row],[Fecha MAX de Resp]],"Retrasado",IF(Tabla2[[#This Row],[Fecha de Resp]]=0,"Pendiente",IF(Tabla2[[#This Row],[Fecha de Resp]]&lt;=Tabla2[[#This Row],[Fecha MAX de Resp]],"A Tiempo",0)))</f>
        <v>A Tiempo</v>
      </c>
      <c r="M225" s="43"/>
      <c r="N225" s="44"/>
      <c r="O225" s="48" t="b">
        <f>EXACT(Tabla2[[#This Row],[Fecha de Recibido]],Tabla2[[#This Row],[Fecha MAX de Resp]])</f>
        <v>0</v>
      </c>
      <c r="P225" s="48" t="b">
        <f>EXACT(Tabla2[[#This Row],[Fecha de Recibido]],Tabla2[[#This Row],[Fecha de Resp]])</f>
        <v>0</v>
      </c>
      <c r="Q225" s="45">
        <f>DATE(YEAR(Tabla2[[#This Row],[Fecha de Recibido]]),MONTH(Tabla2[[#This Row],[Fecha de Recibido]]),1)</f>
        <v>45139</v>
      </c>
      <c r="R225" s="45" t="s">
        <v>63</v>
      </c>
    </row>
    <row r="226" spans="1:18" ht="37.5" customHeight="1">
      <c r="A226" s="63">
        <v>45153</v>
      </c>
      <c r="B226" s="42" t="s">
        <v>32</v>
      </c>
      <c r="C226" s="42" t="s">
        <v>524</v>
      </c>
      <c r="D226" s="41">
        <v>45168</v>
      </c>
      <c r="E226" s="41">
        <v>45168</v>
      </c>
      <c r="F226" s="43"/>
      <c r="G226" s="43" t="s">
        <v>525</v>
      </c>
      <c r="H226" s="43" t="s">
        <v>526</v>
      </c>
      <c r="I226" s="43"/>
      <c r="J226" s="43" t="s">
        <v>3</v>
      </c>
      <c r="K226" s="43" t="s">
        <v>360</v>
      </c>
      <c r="L226" s="44" t="str">
        <f>IF(Tabla2[[#This Row],[Fecha de Resp]]&gt;Tabla2[[#This Row],[Fecha MAX de Resp]],"Retrasado",IF(Tabla2[[#This Row],[Fecha de Resp]]=0,"Pendiente",IF(Tabla2[[#This Row],[Fecha de Resp]]&lt;=Tabla2[[#This Row],[Fecha MAX de Resp]],"A Tiempo",0)))</f>
        <v>A Tiempo</v>
      </c>
      <c r="M226" s="45">
        <v>45168</v>
      </c>
      <c r="N226" s="44" t="s">
        <v>527</v>
      </c>
      <c r="O226" s="48" t="b">
        <f>EXACT(Tabla2[[#This Row],[Fecha de Recibido]],Tabla2[[#This Row],[Fecha MAX de Resp]])</f>
        <v>0</v>
      </c>
      <c r="P226" s="48" t="b">
        <f>EXACT(Tabla2[[#This Row],[Fecha de Recibido]],Tabla2[[#This Row],[Fecha de Resp]])</f>
        <v>0</v>
      </c>
      <c r="Q226" s="45">
        <f>DATE(YEAR(Tabla2[[#This Row],[Fecha de Recibido]]),MONTH(Tabla2[[#This Row],[Fecha de Recibido]]),1)</f>
        <v>45139</v>
      </c>
      <c r="R226" s="45" t="s">
        <v>63</v>
      </c>
    </row>
    <row r="227" spans="1:18" ht="37.5" customHeight="1">
      <c r="A227" s="63">
        <v>45152</v>
      </c>
      <c r="B227" s="42" t="s">
        <v>37</v>
      </c>
      <c r="C227" s="42" t="s">
        <v>528</v>
      </c>
      <c r="D227" s="41">
        <v>45166</v>
      </c>
      <c r="E227" s="41">
        <v>45166</v>
      </c>
      <c r="G227" s="43"/>
      <c r="H227" s="43" t="s">
        <v>529</v>
      </c>
      <c r="I227" s="43"/>
      <c r="J227" s="43" t="s">
        <v>3</v>
      </c>
      <c r="K227" s="43" t="s">
        <v>360</v>
      </c>
      <c r="L227" s="44" t="str">
        <f>IF(Tabla2[[#This Row],[Fecha de Resp]]&gt;Tabla2[[#This Row],[Fecha MAX de Resp]],"Retrasado",IF(Tabla2[[#This Row],[Fecha de Resp]]=0,"Pendiente",IF(Tabla2[[#This Row],[Fecha de Resp]]&lt;=Tabla2[[#This Row],[Fecha MAX de Resp]],"A Tiempo",0)))</f>
        <v>A Tiempo</v>
      </c>
      <c r="M227" s="43"/>
      <c r="N227" s="44"/>
      <c r="O227" s="48" t="b">
        <f>EXACT(Tabla2[[#This Row],[Fecha de Recibido]],Tabla2[[#This Row],[Fecha MAX de Resp]])</f>
        <v>0</v>
      </c>
      <c r="P227" s="48" t="b">
        <f>EXACT(Tabla2[[#This Row],[Fecha de Recibido]],Tabla2[[#This Row],[Fecha de Resp]])</f>
        <v>0</v>
      </c>
      <c r="Q227" s="45">
        <f>DATE(YEAR(Tabla2[[#This Row],[Fecha de Recibido]]),MONTH(Tabla2[[#This Row],[Fecha de Recibido]]),1)</f>
        <v>45139</v>
      </c>
      <c r="R227" s="45" t="s">
        <v>63</v>
      </c>
    </row>
    <row r="228" spans="1:18" ht="37.5" customHeight="1">
      <c r="A228" s="63">
        <v>45149</v>
      </c>
      <c r="B228" s="42" t="s">
        <v>24</v>
      </c>
      <c r="C228" s="42" t="s">
        <v>530</v>
      </c>
      <c r="D228" s="41">
        <v>45155</v>
      </c>
      <c r="E228" s="41">
        <v>45155</v>
      </c>
      <c r="G228" s="43"/>
      <c r="H228" s="43"/>
      <c r="I228" s="43" t="s">
        <v>531</v>
      </c>
      <c r="J228" s="43" t="s">
        <v>3</v>
      </c>
      <c r="K228" s="43" t="s">
        <v>4</v>
      </c>
      <c r="L228" s="44" t="str">
        <f>IF(Tabla2[[#This Row],[Fecha de Resp]]&gt;Tabla2[[#This Row],[Fecha MAX de Resp]],"Retrasado",IF(Tabla2[[#This Row],[Fecha de Resp]]=0,"Pendiente",IF(Tabla2[[#This Row],[Fecha de Resp]]&lt;=Tabla2[[#This Row],[Fecha MAX de Resp]],"A Tiempo",0)))</f>
        <v>A Tiempo</v>
      </c>
      <c r="M228" s="43"/>
      <c r="N228" s="44"/>
      <c r="O228" s="48" t="b">
        <f>EXACT(Tabla2[[#This Row],[Fecha de Recibido]],Tabla2[[#This Row],[Fecha MAX de Resp]])</f>
        <v>0</v>
      </c>
      <c r="P228" s="48" t="b">
        <f>EXACT(Tabla2[[#This Row],[Fecha de Recibido]],Tabla2[[#This Row],[Fecha de Resp]])</f>
        <v>0</v>
      </c>
      <c r="Q228" s="45">
        <f>DATE(YEAR(Tabla2[[#This Row],[Fecha de Recibido]]),MONTH(Tabla2[[#This Row],[Fecha de Recibido]]),1)</f>
        <v>45139</v>
      </c>
      <c r="R228" s="45" t="s">
        <v>63</v>
      </c>
    </row>
    <row r="229" spans="1:18" ht="37.5" customHeight="1">
      <c r="A229" s="63">
        <v>45149</v>
      </c>
      <c r="B229" s="42" t="s">
        <v>24</v>
      </c>
      <c r="C229" s="42" t="s">
        <v>532</v>
      </c>
      <c r="D229" s="41">
        <v>45174</v>
      </c>
      <c r="E229" s="41">
        <v>45174</v>
      </c>
      <c r="G229" s="43"/>
      <c r="H229" s="43"/>
      <c r="I229" s="43" t="s">
        <v>533</v>
      </c>
      <c r="J229" s="43" t="s">
        <v>8</v>
      </c>
      <c r="K229" s="43" t="s">
        <v>534</v>
      </c>
      <c r="L229" s="44" t="str">
        <f>IF(Tabla2[[#This Row],[Fecha de Resp]]&gt;Tabla2[[#This Row],[Fecha MAX de Resp]],"Retrasado",IF(Tabla2[[#This Row],[Fecha de Resp]]=0,"Pendiente",IF(Tabla2[[#This Row],[Fecha de Resp]]&lt;=Tabla2[[#This Row],[Fecha MAX de Resp]],"A Tiempo",0)))</f>
        <v>A Tiempo</v>
      </c>
      <c r="M229" s="43"/>
      <c r="N229" s="44"/>
      <c r="O229" s="48" t="b">
        <f>EXACT(Tabla2[[#This Row],[Fecha de Recibido]],Tabla2[[#This Row],[Fecha MAX de Resp]])</f>
        <v>0</v>
      </c>
      <c r="P229" s="48" t="b">
        <f>EXACT(Tabla2[[#This Row],[Fecha de Recibido]],Tabla2[[#This Row],[Fecha de Resp]])</f>
        <v>0</v>
      </c>
      <c r="Q229" s="45">
        <f>DATE(YEAR(Tabla2[[#This Row],[Fecha de Recibido]]),MONTH(Tabla2[[#This Row],[Fecha de Recibido]]),1)</f>
        <v>45139</v>
      </c>
      <c r="R229" s="45" t="s">
        <v>63</v>
      </c>
    </row>
    <row r="230" spans="1:18" ht="37.5" customHeight="1">
      <c r="A230" s="63">
        <v>45148</v>
      </c>
      <c r="B230" s="42" t="s">
        <v>32</v>
      </c>
      <c r="C230" s="42" t="s">
        <v>535</v>
      </c>
      <c r="D230" s="41">
        <v>45153</v>
      </c>
      <c r="E230" s="41">
        <v>45153</v>
      </c>
      <c r="G230" s="43" t="s">
        <v>536</v>
      </c>
      <c r="H230" s="43" t="s">
        <v>537</v>
      </c>
      <c r="I230" s="43" t="s">
        <v>538</v>
      </c>
      <c r="J230" s="43" t="s">
        <v>8</v>
      </c>
      <c r="K230" s="43" t="s">
        <v>12</v>
      </c>
      <c r="L230" s="44" t="str">
        <f>IF(Tabla2[[#This Row],[Fecha de Resp]]&gt;Tabla2[[#This Row],[Fecha MAX de Resp]],"Retrasado",IF(Tabla2[[#This Row],[Fecha de Resp]]=0,"Pendiente",IF(Tabla2[[#This Row],[Fecha de Resp]]&lt;=Tabla2[[#This Row],[Fecha MAX de Resp]],"A Tiempo",0)))</f>
        <v>A Tiempo</v>
      </c>
      <c r="M230" s="45">
        <v>45153</v>
      </c>
      <c r="N230" s="44" t="s">
        <v>539</v>
      </c>
      <c r="O230" s="48" t="b">
        <f>EXACT(Tabla2[[#This Row],[Fecha de Recibido]],Tabla2[[#This Row],[Fecha MAX de Resp]])</f>
        <v>0</v>
      </c>
      <c r="P230" s="48" t="b">
        <f>EXACT(Tabla2[[#This Row],[Fecha de Recibido]],Tabla2[[#This Row],[Fecha de Resp]])</f>
        <v>0</v>
      </c>
      <c r="Q230" s="45">
        <f>DATE(YEAR(Tabla2[[#This Row],[Fecha de Recibido]]),MONTH(Tabla2[[#This Row],[Fecha de Recibido]]),1)</f>
        <v>45139</v>
      </c>
      <c r="R230" s="45" t="s">
        <v>63</v>
      </c>
    </row>
    <row r="231" spans="1:18" s="42" customFormat="1" ht="37.5" customHeight="1">
      <c r="A231" s="63">
        <v>45148</v>
      </c>
      <c r="B231" s="42" t="s">
        <v>32</v>
      </c>
      <c r="C231" s="42" t="s">
        <v>540</v>
      </c>
      <c r="D231" s="41">
        <v>45153</v>
      </c>
      <c r="E231" s="41">
        <v>45153</v>
      </c>
      <c r="G231" s="43" t="s">
        <v>541</v>
      </c>
      <c r="H231" s="43" t="s">
        <v>542</v>
      </c>
      <c r="I231" s="43" t="s">
        <v>543</v>
      </c>
      <c r="J231" s="43" t="s">
        <v>3</v>
      </c>
      <c r="K231" s="43" t="s">
        <v>12</v>
      </c>
      <c r="L231" s="44" t="str">
        <f>IF(Tabla2[[#This Row],[Fecha de Resp]]&gt;Tabla2[[#This Row],[Fecha MAX de Resp]],"Retrasado",IF(Tabla2[[#This Row],[Fecha de Resp]]=0,"Pendiente",IF(Tabla2[[#This Row],[Fecha de Resp]]&lt;=Tabla2[[#This Row],[Fecha MAX de Resp]],"A Tiempo",0)))</f>
        <v>A Tiempo</v>
      </c>
      <c r="M231" s="45">
        <v>45153</v>
      </c>
      <c r="N231" s="44" t="s">
        <v>544</v>
      </c>
      <c r="O231" s="48" t="b">
        <f>EXACT(Tabla2[[#This Row],[Fecha de Recibido]],Tabla2[[#This Row],[Fecha MAX de Resp]])</f>
        <v>0</v>
      </c>
      <c r="P231" s="48" t="b">
        <f>EXACT(Tabla2[[#This Row],[Fecha de Recibido]],Tabla2[[#This Row],[Fecha de Resp]])</f>
        <v>0</v>
      </c>
      <c r="Q231" s="45">
        <f>DATE(YEAR(Tabla2[[#This Row],[Fecha de Recibido]]),MONTH(Tabla2[[#This Row],[Fecha de Recibido]]),1)</f>
        <v>45139</v>
      </c>
      <c r="R231" s="45" t="s">
        <v>63</v>
      </c>
    </row>
    <row r="232" spans="1:18" s="42" customFormat="1" ht="54.75" customHeight="1">
      <c r="A232" s="63">
        <v>45147</v>
      </c>
      <c r="B232" s="42" t="s">
        <v>32</v>
      </c>
      <c r="C232" s="42" t="s">
        <v>545</v>
      </c>
      <c r="D232" s="60">
        <v>45147</v>
      </c>
      <c r="E232" s="60">
        <v>45147</v>
      </c>
      <c r="G232" s="43" t="s">
        <v>546</v>
      </c>
      <c r="H232" s="43"/>
      <c r="I232" s="43"/>
      <c r="J232" s="43" t="s">
        <v>3</v>
      </c>
      <c r="K232" s="43" t="s">
        <v>15</v>
      </c>
      <c r="L232" s="44" t="str">
        <f>IF(Tabla2[[#This Row],[Fecha de Resp]]&gt;Tabla2[[#This Row],[Fecha MAX de Resp]],"Retrasado",IF(Tabla2[[#This Row],[Fecha de Resp]]=0,"Pendiente",IF(Tabla2[[#This Row],[Fecha de Resp]]&lt;=Tabla2[[#This Row],[Fecha MAX de Resp]],"A Tiempo",0)))</f>
        <v>A Tiempo</v>
      </c>
      <c r="M232" s="43"/>
      <c r="N232" s="44"/>
      <c r="O232" s="48" t="b">
        <f>EXACT(Tabla2[[#This Row],[Fecha de Recibido]],Tabla2[[#This Row],[Fecha MAX de Resp]])</f>
        <v>1</v>
      </c>
      <c r="P232" s="48" t="b">
        <f>EXACT(Tabla2[[#This Row],[Fecha de Recibido]],Tabla2[[#This Row],[Fecha de Resp]])</f>
        <v>1</v>
      </c>
      <c r="Q232" s="45">
        <f>DATE(YEAR(Tabla2[[#This Row],[Fecha de Recibido]]),MONTH(Tabla2[[#This Row],[Fecha de Recibido]]),1)</f>
        <v>45139</v>
      </c>
      <c r="R232" s="45" t="s">
        <v>63</v>
      </c>
    </row>
    <row r="233" spans="1:18" s="42" customFormat="1" ht="37.5" customHeight="1">
      <c r="A233" s="63">
        <v>45147</v>
      </c>
      <c r="B233" s="42" t="s">
        <v>32</v>
      </c>
      <c r="C233" s="42" t="s">
        <v>547</v>
      </c>
      <c r="D233" s="41">
        <v>45169</v>
      </c>
      <c r="E233" s="41">
        <v>45169</v>
      </c>
      <c r="G233" s="43" t="s">
        <v>548</v>
      </c>
      <c r="H233" s="43" t="s">
        <v>549</v>
      </c>
      <c r="I233" s="43"/>
      <c r="J233" s="43" t="s">
        <v>3</v>
      </c>
      <c r="K233" s="43" t="s">
        <v>9</v>
      </c>
      <c r="L233" s="44" t="str">
        <f>IF(Tabla2[[#This Row],[Fecha de Resp]]&gt;Tabla2[[#This Row],[Fecha MAX de Resp]],"Retrasado",IF(Tabla2[[#This Row],[Fecha de Resp]]=0,"Pendiente",IF(Tabla2[[#This Row],[Fecha de Resp]]&lt;=Tabla2[[#This Row],[Fecha MAX de Resp]],"A Tiempo",0)))</f>
        <v>A Tiempo</v>
      </c>
      <c r="M233" s="43"/>
      <c r="N233" s="44"/>
      <c r="O233" s="48" t="b">
        <f>EXACT(Tabla2[[#This Row],[Fecha de Recibido]],Tabla2[[#This Row],[Fecha MAX de Resp]])</f>
        <v>0</v>
      </c>
      <c r="P233" s="48" t="b">
        <f>EXACT(Tabla2[[#This Row],[Fecha de Recibido]],Tabla2[[#This Row],[Fecha de Resp]])</f>
        <v>0</v>
      </c>
      <c r="Q233" s="45">
        <f>DATE(YEAR(Tabla2[[#This Row],[Fecha de Recibido]]),MONTH(Tabla2[[#This Row],[Fecha de Recibido]]),1)</f>
        <v>45139</v>
      </c>
      <c r="R233" s="45" t="s">
        <v>63</v>
      </c>
    </row>
    <row r="234" spans="1:18" s="42" customFormat="1" ht="37.5" customHeight="1">
      <c r="A234" s="63">
        <v>45146</v>
      </c>
      <c r="B234" s="42" t="s">
        <v>17</v>
      </c>
      <c r="C234" s="42" t="s">
        <v>550</v>
      </c>
      <c r="D234" s="41">
        <v>45153</v>
      </c>
      <c r="E234" s="41">
        <v>45153</v>
      </c>
      <c r="G234" s="43" t="s">
        <v>551</v>
      </c>
      <c r="H234" s="43" t="s">
        <v>551</v>
      </c>
      <c r="I234" s="43" t="s">
        <v>552</v>
      </c>
      <c r="J234" s="43" t="s">
        <v>3</v>
      </c>
      <c r="K234" s="43" t="s">
        <v>404</v>
      </c>
      <c r="L234" s="44" t="str">
        <f>IF(Tabla2[[#This Row],[Fecha de Resp]]&gt;Tabla2[[#This Row],[Fecha MAX de Resp]],"Retrasado",IF(Tabla2[[#This Row],[Fecha de Resp]]=0,"Pendiente",IF(Tabla2[[#This Row],[Fecha de Resp]]&lt;=Tabla2[[#This Row],[Fecha MAX de Resp]],"A Tiempo",0)))</f>
        <v>A Tiempo</v>
      </c>
      <c r="M234" s="43"/>
      <c r="N234" s="44"/>
      <c r="O234" s="48" t="b">
        <f>EXACT(Tabla2[[#This Row],[Fecha de Recibido]],Tabla2[[#This Row],[Fecha MAX de Resp]])</f>
        <v>0</v>
      </c>
      <c r="P234" s="48" t="b">
        <f>EXACT(Tabla2[[#This Row],[Fecha de Recibido]],Tabla2[[#This Row],[Fecha de Resp]])</f>
        <v>0</v>
      </c>
      <c r="Q234" s="45">
        <f>DATE(YEAR(Tabla2[[#This Row],[Fecha de Recibido]]),MONTH(Tabla2[[#This Row],[Fecha de Recibido]]),1)</f>
        <v>45139</v>
      </c>
      <c r="R234" s="45" t="s">
        <v>63</v>
      </c>
    </row>
    <row r="235" spans="1:18" s="42" customFormat="1" ht="37.5" customHeight="1">
      <c r="A235" s="63">
        <v>45141</v>
      </c>
      <c r="B235" s="42" t="s">
        <v>32</v>
      </c>
      <c r="C235" s="42" t="s">
        <v>553</v>
      </c>
      <c r="D235" s="41">
        <v>45163</v>
      </c>
      <c r="E235" s="41">
        <v>45163</v>
      </c>
      <c r="G235" s="43" t="s">
        <v>554</v>
      </c>
      <c r="H235" s="43" t="s">
        <v>555</v>
      </c>
      <c r="I235" s="43"/>
      <c r="J235" s="43" t="s">
        <v>3</v>
      </c>
      <c r="K235" s="43" t="s">
        <v>360</v>
      </c>
      <c r="L235" s="44" t="str">
        <f>IF(Tabla2[[#This Row],[Fecha de Resp]]&gt;Tabla2[[#This Row],[Fecha MAX de Resp]],"Retrasado",IF(Tabla2[[#This Row],[Fecha de Resp]]=0,"Pendiente",IF(Tabla2[[#This Row],[Fecha de Resp]]&lt;=Tabla2[[#This Row],[Fecha MAX de Resp]],"A Tiempo",0)))</f>
        <v>A Tiempo</v>
      </c>
      <c r="M235" s="43"/>
      <c r="N235" s="44"/>
      <c r="O235" s="48" t="b">
        <f>EXACT(Tabla2[[#This Row],[Fecha de Recibido]],Tabla2[[#This Row],[Fecha MAX de Resp]])</f>
        <v>0</v>
      </c>
      <c r="P235" s="48" t="b">
        <f>EXACT(Tabla2[[#This Row],[Fecha de Recibido]],Tabla2[[#This Row],[Fecha de Resp]])</f>
        <v>0</v>
      </c>
      <c r="Q235" s="45">
        <f>DATE(YEAR(Tabla2[[#This Row],[Fecha de Recibido]]),MONTH(Tabla2[[#This Row],[Fecha de Recibido]]),1)</f>
        <v>45139</v>
      </c>
      <c r="R235" s="45" t="s">
        <v>63</v>
      </c>
    </row>
    <row r="236" spans="1:18" s="42" customFormat="1" ht="37.5" customHeight="1">
      <c r="A236" s="63">
        <v>45141</v>
      </c>
      <c r="B236" s="42" t="s">
        <v>26</v>
      </c>
      <c r="C236" s="42" t="s">
        <v>556</v>
      </c>
      <c r="D236" s="41">
        <v>45155</v>
      </c>
      <c r="E236" s="41">
        <v>45152</v>
      </c>
      <c r="G236" s="43" t="s">
        <v>557</v>
      </c>
      <c r="H236" s="43" t="s">
        <v>558</v>
      </c>
      <c r="I236" s="43"/>
      <c r="J236" s="43" t="s">
        <v>11</v>
      </c>
      <c r="K236" s="43" t="s">
        <v>12</v>
      </c>
      <c r="L236" s="44" t="str">
        <f>IF(Tabla2[[#This Row],[Fecha de Resp]]&gt;Tabla2[[#This Row],[Fecha MAX de Resp]],"Retrasado",IF(Tabla2[[#This Row],[Fecha de Resp]]=0,"Pendiente",IF(Tabla2[[#This Row],[Fecha de Resp]]&lt;=Tabla2[[#This Row],[Fecha MAX de Resp]],"A Tiempo",0)))</f>
        <v>A Tiempo</v>
      </c>
      <c r="M236" s="43"/>
      <c r="N236" s="44"/>
      <c r="O236" s="48" t="b">
        <f>EXACT(Tabla2[[#This Row],[Fecha de Recibido]],Tabla2[[#This Row],[Fecha MAX de Resp]])</f>
        <v>0</v>
      </c>
      <c r="P236" s="48" t="b">
        <f>EXACT(Tabla2[[#This Row],[Fecha de Recibido]],Tabla2[[#This Row],[Fecha de Resp]])</f>
        <v>0</v>
      </c>
      <c r="Q236" s="45">
        <f>DATE(YEAR(Tabla2[[#This Row],[Fecha de Recibido]]),MONTH(Tabla2[[#This Row],[Fecha de Recibido]]),1)</f>
        <v>45139</v>
      </c>
      <c r="R236" s="45" t="s">
        <v>63</v>
      </c>
    </row>
    <row r="237" spans="1:18" s="42" customFormat="1" ht="37.5" customHeight="1">
      <c r="A237" s="63">
        <v>45139</v>
      </c>
      <c r="B237" s="42" t="s">
        <v>17</v>
      </c>
      <c r="C237" s="42" t="s">
        <v>302</v>
      </c>
      <c r="D237" s="60">
        <v>45316</v>
      </c>
      <c r="E237" s="60">
        <v>45316</v>
      </c>
      <c r="G237" s="43" t="s">
        <v>559</v>
      </c>
      <c r="H237" s="43"/>
      <c r="I237" s="43"/>
      <c r="J237" s="43" t="s">
        <v>3</v>
      </c>
      <c r="K237" s="43" t="s">
        <v>12</v>
      </c>
      <c r="L237" s="44" t="str">
        <f>IF(Tabla2[[#This Row],[Fecha de Resp]]&gt;Tabla2[[#This Row],[Fecha MAX de Resp]],"Retrasado",IF(Tabla2[[#This Row],[Fecha de Resp]]=0,"Pendiente",IF(Tabla2[[#This Row],[Fecha de Resp]]&lt;=Tabla2[[#This Row],[Fecha MAX de Resp]],"A Tiempo",0)))</f>
        <v>A Tiempo</v>
      </c>
      <c r="M237" s="43"/>
      <c r="N237" s="44"/>
      <c r="O237" s="48" t="b">
        <f>EXACT(Tabla2[[#This Row],[Fecha de Recibido]],Tabla2[[#This Row],[Fecha MAX de Resp]])</f>
        <v>0</v>
      </c>
      <c r="P237" s="48" t="b">
        <f>EXACT(Tabla2[[#This Row],[Fecha de Recibido]],Tabla2[[#This Row],[Fecha de Resp]])</f>
        <v>0</v>
      </c>
      <c r="Q237" s="45">
        <f>DATE(YEAR(Tabla2[[#This Row],[Fecha de Recibido]]),MONTH(Tabla2[[#This Row],[Fecha de Recibido]]),1)</f>
        <v>45139</v>
      </c>
      <c r="R237" s="45" t="s">
        <v>63</v>
      </c>
    </row>
    <row r="238" spans="1:18" s="42" customFormat="1" ht="37.5" customHeight="1">
      <c r="A238" s="63">
        <v>45138</v>
      </c>
      <c r="B238" s="42" t="s">
        <v>32</v>
      </c>
      <c r="C238" s="42" t="s">
        <v>560</v>
      </c>
      <c r="D238" s="41">
        <v>45139</v>
      </c>
      <c r="E238" s="41">
        <v>45139</v>
      </c>
      <c r="G238" s="43" t="s">
        <v>561</v>
      </c>
      <c r="H238" s="43" t="s">
        <v>561</v>
      </c>
      <c r="I238" s="43" t="s">
        <v>562</v>
      </c>
      <c r="J238" s="43" t="s">
        <v>3</v>
      </c>
      <c r="K238" s="43" t="s">
        <v>352</v>
      </c>
      <c r="L238" s="44" t="str">
        <f>IF(Tabla2[[#This Row],[Fecha de Resp]]&gt;Tabla2[[#This Row],[Fecha MAX de Resp]],"Retrasado",IF(Tabla2[[#This Row],[Fecha de Resp]]=0,"Pendiente",IF(Tabla2[[#This Row],[Fecha de Resp]]&lt;=Tabla2[[#This Row],[Fecha MAX de Resp]],"A Tiempo",0)))</f>
        <v>A Tiempo</v>
      </c>
      <c r="M238" s="45">
        <v>45139</v>
      </c>
      <c r="N238" s="44" t="s">
        <v>563</v>
      </c>
      <c r="O238" s="48" t="b">
        <f>EXACT(Tabla2[[#This Row],[Fecha de Recibido]],Tabla2[[#This Row],[Fecha MAX de Resp]])</f>
        <v>0</v>
      </c>
      <c r="P238" s="48" t="b">
        <f>EXACT(Tabla2[[#This Row],[Fecha de Recibido]],Tabla2[[#This Row],[Fecha de Resp]])</f>
        <v>0</v>
      </c>
      <c r="Q238" s="45">
        <f>DATE(YEAR(Tabla2[[#This Row],[Fecha de Recibido]]),MONTH(Tabla2[[#This Row],[Fecha de Recibido]]),1)</f>
        <v>45108</v>
      </c>
      <c r="R238" s="45" t="s">
        <v>63</v>
      </c>
    </row>
    <row r="239" spans="1:18" s="42" customFormat="1" ht="37.5" customHeight="1">
      <c r="A239" s="63">
        <v>45134</v>
      </c>
      <c r="B239" s="42" t="s">
        <v>30</v>
      </c>
      <c r="C239" s="42" t="s">
        <v>564</v>
      </c>
      <c r="D239" s="58">
        <v>45134</v>
      </c>
      <c r="E239" s="58">
        <v>45134</v>
      </c>
      <c r="G239" s="43" t="s">
        <v>565</v>
      </c>
      <c r="H239" s="43" t="s">
        <v>565</v>
      </c>
      <c r="I239" s="43" t="s">
        <v>566</v>
      </c>
      <c r="J239" s="43" t="s">
        <v>3</v>
      </c>
      <c r="K239" s="43" t="s">
        <v>12</v>
      </c>
      <c r="L239" s="44" t="str">
        <f>IF(Tabla2[[#This Row],[Fecha de Resp]]&gt;Tabla2[[#This Row],[Fecha MAX de Resp]],"Retrasado",IF(Tabla2[[#This Row],[Fecha de Resp]]=0,"Pendiente",IF(Tabla2[[#This Row],[Fecha de Resp]]&lt;=Tabla2[[#This Row],[Fecha MAX de Resp]],"A Tiempo",0)))</f>
        <v>A Tiempo</v>
      </c>
      <c r="M239" s="43"/>
      <c r="N239" s="44"/>
      <c r="O239" s="48" t="b">
        <f>EXACT(Tabla2[[#This Row],[Fecha de Recibido]],Tabla2[[#This Row],[Fecha MAX de Resp]])</f>
        <v>1</v>
      </c>
      <c r="P239" s="48" t="b">
        <f>EXACT(Tabla2[[#This Row],[Fecha de Recibido]],Tabla2[[#This Row],[Fecha de Resp]])</f>
        <v>1</v>
      </c>
      <c r="Q239" s="45">
        <f>DATE(YEAR(Tabla2[[#This Row],[Fecha de Recibido]]),MONTH(Tabla2[[#This Row],[Fecha de Recibido]]),1)</f>
        <v>45108</v>
      </c>
      <c r="R239" s="45" t="s">
        <v>63</v>
      </c>
    </row>
    <row r="240" spans="1:18" s="42" customFormat="1" ht="37.5" customHeight="1">
      <c r="A240" s="63">
        <v>45131</v>
      </c>
      <c r="B240" s="42" t="s">
        <v>17</v>
      </c>
      <c r="C240" s="42" t="s">
        <v>567</v>
      </c>
      <c r="D240" s="41">
        <v>45134</v>
      </c>
      <c r="E240" s="41">
        <v>45134</v>
      </c>
      <c r="G240" s="43" t="s">
        <v>568</v>
      </c>
      <c r="H240" s="43" t="s">
        <v>568</v>
      </c>
      <c r="I240" s="55" t="s">
        <v>569</v>
      </c>
      <c r="J240" s="43" t="s">
        <v>8</v>
      </c>
      <c r="K240" s="43" t="s">
        <v>12</v>
      </c>
      <c r="L240" s="44" t="str">
        <f>IF(Tabla2[[#This Row],[Fecha de Resp]]&gt;Tabla2[[#This Row],[Fecha MAX de Resp]],"Retrasado",IF(Tabla2[[#This Row],[Fecha de Resp]]=0,"Pendiente",IF(Tabla2[[#This Row],[Fecha de Resp]]&lt;=Tabla2[[#This Row],[Fecha MAX de Resp]],"A Tiempo",0)))</f>
        <v>A Tiempo</v>
      </c>
      <c r="M240" s="43"/>
      <c r="N240" s="44"/>
      <c r="O240" s="48" t="b">
        <f>EXACT(Tabla2[[#This Row],[Fecha de Recibido]],Tabla2[[#This Row],[Fecha MAX de Resp]])</f>
        <v>0</v>
      </c>
      <c r="P240" s="48" t="b">
        <f>EXACT(Tabla2[[#This Row],[Fecha de Recibido]],Tabla2[[#This Row],[Fecha de Resp]])</f>
        <v>0</v>
      </c>
      <c r="Q240" s="45">
        <f>DATE(YEAR(Tabla2[[#This Row],[Fecha de Recibido]]),MONTH(Tabla2[[#This Row],[Fecha de Recibido]]),1)</f>
        <v>45108</v>
      </c>
      <c r="R240" s="45" t="s">
        <v>63</v>
      </c>
    </row>
    <row r="241" spans="1:18" s="42" customFormat="1" ht="37.5" customHeight="1">
      <c r="A241" s="63">
        <v>45131</v>
      </c>
      <c r="B241" s="42" t="s">
        <v>17</v>
      </c>
      <c r="C241" s="42" t="s">
        <v>570</v>
      </c>
      <c r="D241" s="41">
        <v>45134</v>
      </c>
      <c r="E241" s="41">
        <v>45134</v>
      </c>
      <c r="G241" s="43" t="s">
        <v>571</v>
      </c>
      <c r="H241" s="43" t="s">
        <v>571</v>
      </c>
      <c r="I241" s="43" t="s">
        <v>572</v>
      </c>
      <c r="J241" s="43" t="s">
        <v>3</v>
      </c>
      <c r="K241" s="43" t="s">
        <v>12</v>
      </c>
      <c r="L241" s="44" t="str">
        <f>IF(Tabla2[[#This Row],[Fecha de Resp]]&gt;Tabla2[[#This Row],[Fecha MAX de Resp]],"Retrasado",IF(Tabla2[[#This Row],[Fecha de Resp]]=0,"Pendiente",IF(Tabla2[[#This Row],[Fecha de Resp]]&lt;=Tabla2[[#This Row],[Fecha MAX de Resp]],"A Tiempo",0)))</f>
        <v>A Tiempo</v>
      </c>
      <c r="M241" s="45">
        <v>45134</v>
      </c>
      <c r="N241" s="44"/>
      <c r="O241" s="48" t="b">
        <f>EXACT(Tabla2[[#This Row],[Fecha de Recibido]],Tabla2[[#This Row],[Fecha MAX de Resp]])</f>
        <v>0</v>
      </c>
      <c r="P241" s="48" t="b">
        <f>EXACT(Tabla2[[#This Row],[Fecha de Recibido]],Tabla2[[#This Row],[Fecha de Resp]])</f>
        <v>0</v>
      </c>
      <c r="Q241" s="45">
        <f>DATE(YEAR(Tabla2[[#This Row],[Fecha de Recibido]]),MONTH(Tabla2[[#This Row],[Fecha de Recibido]]),1)</f>
        <v>45108</v>
      </c>
      <c r="R241" s="45" t="s">
        <v>63</v>
      </c>
    </row>
    <row r="242" spans="1:18" s="42" customFormat="1" ht="37.5" customHeight="1">
      <c r="A242" s="63">
        <v>45131</v>
      </c>
      <c r="B242" s="42" t="s">
        <v>17</v>
      </c>
      <c r="C242" s="42" t="s">
        <v>573</v>
      </c>
      <c r="D242" s="41">
        <v>45134</v>
      </c>
      <c r="E242" s="41">
        <v>45134</v>
      </c>
      <c r="G242" s="43" t="s">
        <v>574</v>
      </c>
      <c r="H242" s="43" t="s">
        <v>574</v>
      </c>
      <c r="I242" s="43" t="s">
        <v>575</v>
      </c>
      <c r="J242" s="43" t="s">
        <v>14</v>
      </c>
      <c r="K242" s="43" t="s">
        <v>12</v>
      </c>
      <c r="L242" s="44" t="str">
        <f>IF(Tabla2[[#This Row],[Fecha de Resp]]&gt;Tabla2[[#This Row],[Fecha MAX de Resp]],"Retrasado",IF(Tabla2[[#This Row],[Fecha de Resp]]=0,"Pendiente",IF(Tabla2[[#This Row],[Fecha de Resp]]&lt;=Tabla2[[#This Row],[Fecha MAX de Resp]],"A Tiempo",0)))</f>
        <v>A Tiempo</v>
      </c>
      <c r="M242" s="45">
        <v>45134</v>
      </c>
      <c r="N242" s="44">
        <v>20232312595591</v>
      </c>
      <c r="O242" s="48" t="b">
        <f>EXACT(Tabla2[[#This Row],[Fecha de Recibido]],Tabla2[[#This Row],[Fecha MAX de Resp]])</f>
        <v>0</v>
      </c>
      <c r="P242" s="48" t="b">
        <f>EXACT(Tabla2[[#This Row],[Fecha de Recibido]],Tabla2[[#This Row],[Fecha de Resp]])</f>
        <v>0</v>
      </c>
      <c r="Q242" s="45">
        <f>DATE(YEAR(Tabla2[[#This Row],[Fecha de Recibido]]),MONTH(Tabla2[[#This Row],[Fecha de Recibido]]),1)</f>
        <v>45108</v>
      </c>
      <c r="R242" s="45" t="s">
        <v>63</v>
      </c>
    </row>
    <row r="243" spans="1:18" s="42" customFormat="1" ht="37.5" customHeight="1">
      <c r="A243" s="63">
        <v>45131</v>
      </c>
      <c r="B243" s="42" t="s">
        <v>17</v>
      </c>
      <c r="C243" s="42" t="s">
        <v>576</v>
      </c>
      <c r="D243" s="41">
        <v>45134</v>
      </c>
      <c r="E243" s="41">
        <v>45134</v>
      </c>
      <c r="G243" s="55" t="s">
        <v>577</v>
      </c>
      <c r="H243" s="55" t="s">
        <v>577</v>
      </c>
      <c r="I243" s="43" t="s">
        <v>578</v>
      </c>
      <c r="J243" s="43" t="s">
        <v>11</v>
      </c>
      <c r="K243" s="43" t="s">
        <v>12</v>
      </c>
      <c r="L243" s="44" t="str">
        <f>IF(Tabla2[[#This Row],[Fecha de Resp]]&gt;Tabla2[[#This Row],[Fecha MAX de Resp]],"Retrasado",IF(Tabla2[[#This Row],[Fecha de Resp]]=0,"Pendiente",IF(Tabla2[[#This Row],[Fecha de Resp]]&lt;=Tabla2[[#This Row],[Fecha MAX de Resp]],"A Tiempo",0)))</f>
        <v>A Tiempo</v>
      </c>
      <c r="M243" s="45">
        <v>45134</v>
      </c>
      <c r="N243" s="44">
        <v>20232312595781</v>
      </c>
      <c r="O243" s="48" t="b">
        <f>EXACT(Tabla2[[#This Row],[Fecha de Recibido]],Tabla2[[#This Row],[Fecha MAX de Resp]])</f>
        <v>0</v>
      </c>
      <c r="P243" s="48" t="b">
        <f>EXACT(Tabla2[[#This Row],[Fecha de Recibido]],Tabla2[[#This Row],[Fecha de Resp]])</f>
        <v>0</v>
      </c>
      <c r="Q243" s="45">
        <f>DATE(YEAR(Tabla2[[#This Row],[Fecha de Recibido]]),MONTH(Tabla2[[#This Row],[Fecha de Recibido]]),1)</f>
        <v>45108</v>
      </c>
      <c r="R243" s="45" t="s">
        <v>63</v>
      </c>
    </row>
    <row r="244" spans="1:18" s="42" customFormat="1" ht="37.5" customHeight="1">
      <c r="A244" s="63">
        <v>45131</v>
      </c>
      <c r="B244" s="42" t="s">
        <v>17</v>
      </c>
      <c r="C244" s="42" t="s">
        <v>579</v>
      </c>
      <c r="D244" s="41">
        <v>45134</v>
      </c>
      <c r="E244" s="41">
        <v>45134</v>
      </c>
      <c r="G244" s="43" t="s">
        <v>580</v>
      </c>
      <c r="H244" s="43" t="s">
        <v>580</v>
      </c>
      <c r="I244" s="43" t="s">
        <v>581</v>
      </c>
      <c r="J244" s="43" t="s">
        <v>8</v>
      </c>
      <c r="K244" s="43" t="s">
        <v>12</v>
      </c>
      <c r="L244" s="44" t="str">
        <f>IF(Tabla2[[#This Row],[Fecha de Resp]]&gt;Tabla2[[#This Row],[Fecha MAX de Resp]],"Retrasado",IF(Tabla2[[#This Row],[Fecha de Resp]]=0,"Pendiente",IF(Tabla2[[#This Row],[Fecha de Resp]]&lt;=Tabla2[[#This Row],[Fecha MAX de Resp]],"A Tiempo",0)))</f>
        <v>A Tiempo</v>
      </c>
      <c r="M244" s="45">
        <v>45134</v>
      </c>
      <c r="N244" s="44">
        <v>20232312595711</v>
      </c>
      <c r="O244" s="48" t="b">
        <f>EXACT(Tabla2[[#This Row],[Fecha de Recibido]],Tabla2[[#This Row],[Fecha MAX de Resp]])</f>
        <v>0</v>
      </c>
      <c r="P244" s="48" t="b">
        <f>EXACT(Tabla2[[#This Row],[Fecha de Recibido]],Tabla2[[#This Row],[Fecha de Resp]])</f>
        <v>0</v>
      </c>
      <c r="Q244" s="45">
        <f>DATE(YEAR(Tabla2[[#This Row],[Fecha de Recibido]]),MONTH(Tabla2[[#This Row],[Fecha de Recibido]]),1)</f>
        <v>45108</v>
      </c>
      <c r="R244" s="45" t="s">
        <v>63</v>
      </c>
    </row>
    <row r="245" spans="1:18" s="42" customFormat="1" ht="37.5" customHeight="1">
      <c r="A245" s="63">
        <v>45128</v>
      </c>
      <c r="B245" s="42" t="s">
        <v>37</v>
      </c>
      <c r="C245" s="42" t="s">
        <v>582</v>
      </c>
      <c r="D245" s="60">
        <v>45128</v>
      </c>
      <c r="E245" s="60">
        <v>45128</v>
      </c>
      <c r="G245" s="43" t="s">
        <v>583</v>
      </c>
      <c r="H245" s="43"/>
      <c r="I245" s="43"/>
      <c r="J245" s="43" t="s">
        <v>3</v>
      </c>
      <c r="K245" s="43" t="s">
        <v>15</v>
      </c>
      <c r="L245" s="44" t="str">
        <f>IF(Tabla2[[#This Row],[Fecha de Resp]]&gt;Tabla2[[#This Row],[Fecha MAX de Resp]],"Retrasado",IF(Tabla2[[#This Row],[Fecha de Resp]]=0,"Pendiente",IF(Tabla2[[#This Row],[Fecha de Resp]]&lt;=Tabla2[[#This Row],[Fecha MAX de Resp]],"A Tiempo",0)))</f>
        <v>A Tiempo</v>
      </c>
      <c r="M245" s="43"/>
      <c r="N245" s="44"/>
      <c r="O245" s="48" t="b">
        <f>EXACT(Tabla2[[#This Row],[Fecha de Recibido]],Tabla2[[#This Row],[Fecha MAX de Resp]])</f>
        <v>1</v>
      </c>
      <c r="P245" s="48" t="b">
        <f>EXACT(Tabla2[[#This Row],[Fecha de Recibido]],Tabla2[[#This Row],[Fecha de Resp]])</f>
        <v>1</v>
      </c>
      <c r="Q245" s="45">
        <f>DATE(YEAR(Tabla2[[#This Row],[Fecha de Recibido]]),MONTH(Tabla2[[#This Row],[Fecha de Recibido]]),1)</f>
        <v>45108</v>
      </c>
      <c r="R245" s="45" t="s">
        <v>63</v>
      </c>
    </row>
    <row r="246" spans="1:18" s="42" customFormat="1" ht="37.5" customHeight="1">
      <c r="A246" s="63">
        <v>45128</v>
      </c>
      <c r="B246" s="42" t="s">
        <v>17</v>
      </c>
      <c r="C246" s="42" t="s">
        <v>584</v>
      </c>
      <c r="D246" s="60">
        <v>45128</v>
      </c>
      <c r="E246" s="60">
        <v>45128</v>
      </c>
      <c r="G246" s="43" t="s">
        <v>585</v>
      </c>
      <c r="H246" s="43"/>
      <c r="I246" s="43"/>
      <c r="J246" s="43" t="s">
        <v>3</v>
      </c>
      <c r="K246" s="43" t="s">
        <v>15</v>
      </c>
      <c r="L246" s="44" t="str">
        <f>IF(Tabla2[[#This Row],[Fecha de Resp]]&gt;Tabla2[[#This Row],[Fecha MAX de Resp]],"Retrasado",IF(Tabla2[[#This Row],[Fecha de Resp]]=0,"Pendiente",IF(Tabla2[[#This Row],[Fecha de Resp]]&lt;=Tabla2[[#This Row],[Fecha MAX de Resp]],"A Tiempo",0)))</f>
        <v>A Tiempo</v>
      </c>
      <c r="M246" s="43"/>
      <c r="N246" s="44"/>
      <c r="O246" s="48" t="b">
        <f>EXACT(Tabla2[[#This Row],[Fecha de Recibido]],Tabla2[[#This Row],[Fecha MAX de Resp]])</f>
        <v>1</v>
      </c>
      <c r="P246" s="48" t="b">
        <f>EXACT(Tabla2[[#This Row],[Fecha de Recibido]],Tabla2[[#This Row],[Fecha de Resp]])</f>
        <v>1</v>
      </c>
      <c r="Q246" s="45">
        <f>DATE(YEAR(Tabla2[[#This Row],[Fecha de Recibido]]),MONTH(Tabla2[[#This Row],[Fecha de Recibido]]),1)</f>
        <v>45108</v>
      </c>
      <c r="R246" s="45" t="s">
        <v>63</v>
      </c>
    </row>
    <row r="247" spans="1:18" s="42" customFormat="1" ht="37.5" customHeight="1">
      <c r="A247" s="63">
        <v>45128</v>
      </c>
      <c r="B247" s="42" t="s">
        <v>30</v>
      </c>
      <c r="C247" s="42" t="s">
        <v>586</v>
      </c>
      <c r="D247" s="41">
        <v>45142</v>
      </c>
      <c r="E247" s="41">
        <v>45142</v>
      </c>
      <c r="G247" s="43" t="s">
        <v>587</v>
      </c>
      <c r="H247" s="43" t="s">
        <v>587</v>
      </c>
      <c r="I247" s="43"/>
      <c r="J247" s="43" t="s">
        <v>3</v>
      </c>
      <c r="K247" s="43" t="s">
        <v>12</v>
      </c>
      <c r="L247" s="44" t="str">
        <f>IF(Tabla2[[#This Row],[Fecha de Resp]]&gt;Tabla2[[#This Row],[Fecha MAX de Resp]],"Retrasado",IF(Tabla2[[#This Row],[Fecha de Resp]]=0,"Pendiente",IF(Tabla2[[#This Row],[Fecha de Resp]]&lt;=Tabla2[[#This Row],[Fecha MAX de Resp]],"A Tiempo",0)))</f>
        <v>A Tiempo</v>
      </c>
      <c r="M247" s="43"/>
      <c r="N247" s="44"/>
      <c r="O247" s="48" t="b">
        <f>EXACT(Tabla2[[#This Row],[Fecha de Recibido]],Tabla2[[#This Row],[Fecha MAX de Resp]])</f>
        <v>0</v>
      </c>
      <c r="P247" s="48" t="b">
        <f>EXACT(Tabla2[[#This Row],[Fecha de Recibido]],Tabla2[[#This Row],[Fecha de Resp]])</f>
        <v>0</v>
      </c>
      <c r="Q247" s="45">
        <f>DATE(YEAR(Tabla2[[#This Row],[Fecha de Recibido]]),MONTH(Tabla2[[#This Row],[Fecha de Recibido]]),1)</f>
        <v>45108</v>
      </c>
      <c r="R247" s="45" t="s">
        <v>63</v>
      </c>
    </row>
    <row r="248" spans="1:18" s="42" customFormat="1" ht="37.5" customHeight="1">
      <c r="A248" s="63">
        <v>45127</v>
      </c>
      <c r="B248" s="42" t="s">
        <v>32</v>
      </c>
      <c r="C248" s="42" t="s">
        <v>588</v>
      </c>
      <c r="D248" s="41">
        <v>45131</v>
      </c>
      <c r="E248" s="41">
        <v>45131</v>
      </c>
      <c r="G248" s="43" t="s">
        <v>589</v>
      </c>
      <c r="H248" s="43" t="s">
        <v>589</v>
      </c>
      <c r="I248" s="43" t="s">
        <v>590</v>
      </c>
      <c r="J248" s="43" t="s">
        <v>3</v>
      </c>
      <c r="K248" s="43" t="s">
        <v>12</v>
      </c>
      <c r="L248" s="44" t="str">
        <f>IF(Tabla2[[#This Row],[Fecha de Resp]]&gt;Tabla2[[#This Row],[Fecha MAX de Resp]],"Retrasado",IF(Tabla2[[#This Row],[Fecha de Resp]]=0,"Pendiente",IF(Tabla2[[#This Row],[Fecha de Resp]]&lt;=Tabla2[[#This Row],[Fecha MAX de Resp]],"A Tiempo",0)))</f>
        <v>A Tiempo</v>
      </c>
      <c r="M248" s="45">
        <v>45132</v>
      </c>
      <c r="N248" s="44" t="s">
        <v>591</v>
      </c>
      <c r="O248" s="48" t="b">
        <f>EXACT(Tabla2[[#This Row],[Fecha de Recibido]],Tabla2[[#This Row],[Fecha MAX de Resp]])</f>
        <v>0</v>
      </c>
      <c r="P248" s="48" t="b">
        <f>EXACT(Tabla2[[#This Row],[Fecha de Recibido]],Tabla2[[#This Row],[Fecha de Resp]])</f>
        <v>0</v>
      </c>
      <c r="Q248" s="45">
        <f>DATE(YEAR(Tabla2[[#This Row],[Fecha de Recibido]]),MONTH(Tabla2[[#This Row],[Fecha de Recibido]]),1)</f>
        <v>45108</v>
      </c>
      <c r="R248" s="45" t="s">
        <v>63</v>
      </c>
    </row>
    <row r="249" spans="1:18" s="42" customFormat="1" ht="37.5" customHeight="1">
      <c r="A249" s="63">
        <v>45125</v>
      </c>
      <c r="B249" s="42" t="s">
        <v>30</v>
      </c>
      <c r="C249" s="42" t="s">
        <v>592</v>
      </c>
      <c r="D249" s="60">
        <v>45125</v>
      </c>
      <c r="E249" s="60">
        <v>45125</v>
      </c>
      <c r="G249" s="43" t="s">
        <v>593</v>
      </c>
      <c r="H249" s="43"/>
      <c r="I249" s="43"/>
      <c r="J249" s="43" t="s">
        <v>3</v>
      </c>
      <c r="K249" s="43" t="s">
        <v>15</v>
      </c>
      <c r="L249" s="44" t="str">
        <f>IF(Tabla2[[#This Row],[Fecha de Resp]]&gt;Tabla2[[#This Row],[Fecha MAX de Resp]],"Retrasado",IF(Tabla2[[#This Row],[Fecha de Resp]]=0,"Pendiente",IF(Tabla2[[#This Row],[Fecha de Resp]]&lt;=Tabla2[[#This Row],[Fecha MAX de Resp]],"A Tiempo",0)))</f>
        <v>A Tiempo</v>
      </c>
      <c r="M249" s="43"/>
      <c r="N249" s="44"/>
      <c r="O249" s="48" t="b">
        <f>EXACT(Tabla2[[#This Row],[Fecha de Recibido]],Tabla2[[#This Row],[Fecha MAX de Resp]])</f>
        <v>1</v>
      </c>
      <c r="P249" s="48" t="b">
        <f>EXACT(Tabla2[[#This Row],[Fecha de Recibido]],Tabla2[[#This Row],[Fecha de Resp]])</f>
        <v>1</v>
      </c>
      <c r="Q249" s="45">
        <f>DATE(YEAR(Tabla2[[#This Row],[Fecha de Recibido]]),MONTH(Tabla2[[#This Row],[Fecha de Recibido]]),1)</f>
        <v>45108</v>
      </c>
      <c r="R249" s="45" t="s">
        <v>63</v>
      </c>
    </row>
    <row r="250" spans="1:18" s="42" customFormat="1" ht="37.5" customHeight="1">
      <c r="A250" s="63">
        <v>45125</v>
      </c>
      <c r="B250" s="42" t="s">
        <v>30</v>
      </c>
      <c r="C250" s="42" t="s">
        <v>594</v>
      </c>
      <c r="D250" s="41">
        <v>45133</v>
      </c>
      <c r="E250" s="41">
        <v>45133</v>
      </c>
      <c r="G250" s="43" t="s">
        <v>595</v>
      </c>
      <c r="H250" s="43" t="s">
        <v>595</v>
      </c>
      <c r="I250" s="43"/>
      <c r="J250" s="43" t="s">
        <v>3</v>
      </c>
      <c r="K250" s="43" t="s">
        <v>360</v>
      </c>
      <c r="L250" s="44" t="str">
        <f>IF(Tabla2[[#This Row],[Fecha de Resp]]&gt;Tabla2[[#This Row],[Fecha MAX de Resp]],"Retrasado",IF(Tabla2[[#This Row],[Fecha de Resp]]=0,"Pendiente",IF(Tabla2[[#This Row],[Fecha de Resp]]&lt;=Tabla2[[#This Row],[Fecha MAX de Resp]],"A Tiempo",0)))</f>
        <v>A Tiempo</v>
      </c>
      <c r="M250" s="43"/>
      <c r="N250" s="44"/>
      <c r="O250" s="48" t="b">
        <f>EXACT(Tabla2[[#This Row],[Fecha de Recibido]],Tabla2[[#This Row],[Fecha MAX de Resp]])</f>
        <v>0</v>
      </c>
      <c r="P250" s="48" t="b">
        <f>EXACT(Tabla2[[#This Row],[Fecha de Recibido]],Tabla2[[#This Row],[Fecha de Resp]])</f>
        <v>0</v>
      </c>
      <c r="Q250" s="45">
        <f>DATE(YEAR(Tabla2[[#This Row],[Fecha de Recibido]]),MONTH(Tabla2[[#This Row],[Fecha de Recibido]]),1)</f>
        <v>45108</v>
      </c>
      <c r="R250" s="45" t="s">
        <v>63</v>
      </c>
    </row>
    <row r="251" spans="1:18" s="42" customFormat="1" ht="37.5" customHeight="1">
      <c r="A251" s="63">
        <v>45121</v>
      </c>
      <c r="B251" s="42" t="s">
        <v>32</v>
      </c>
      <c r="C251" s="42" t="s">
        <v>596</v>
      </c>
      <c r="D251" s="41">
        <v>45131</v>
      </c>
      <c r="E251" s="41">
        <v>45131</v>
      </c>
      <c r="G251" s="43" t="s">
        <v>597</v>
      </c>
      <c r="H251" s="43"/>
      <c r="I251" s="43" t="s">
        <v>598</v>
      </c>
      <c r="J251" s="43" t="s">
        <v>11</v>
      </c>
      <c r="K251" s="43" t="s">
        <v>12</v>
      </c>
      <c r="L251" s="44" t="str">
        <f>IF(Tabla2[[#This Row],[Fecha de Resp]]&gt;Tabla2[[#This Row],[Fecha MAX de Resp]],"Retrasado",IF(Tabla2[[#This Row],[Fecha de Resp]]=0,"Pendiente",IF(Tabla2[[#This Row],[Fecha de Resp]]&lt;=Tabla2[[#This Row],[Fecha MAX de Resp]],"A Tiempo",0)))</f>
        <v>A Tiempo</v>
      </c>
      <c r="M251" s="43"/>
      <c r="N251" s="44"/>
      <c r="O251" s="48" t="b">
        <f>EXACT(Tabla2[[#This Row],[Fecha de Recibido]],Tabla2[[#This Row],[Fecha MAX de Resp]])</f>
        <v>0</v>
      </c>
      <c r="P251" s="48" t="b">
        <f>EXACT(Tabla2[[#This Row],[Fecha de Recibido]],Tabla2[[#This Row],[Fecha de Resp]])</f>
        <v>0</v>
      </c>
      <c r="Q251" s="45">
        <f>DATE(YEAR(Tabla2[[#This Row],[Fecha de Recibido]]),MONTH(Tabla2[[#This Row],[Fecha de Recibido]]),1)</f>
        <v>45108</v>
      </c>
      <c r="R251" s="45" t="s">
        <v>63</v>
      </c>
    </row>
    <row r="252" spans="1:18" s="42" customFormat="1" ht="37.5" customHeight="1">
      <c r="A252" s="63">
        <v>45118</v>
      </c>
      <c r="B252" s="42" t="s">
        <v>17</v>
      </c>
      <c r="C252" s="42" t="s">
        <v>599</v>
      </c>
      <c r="D252" s="41">
        <v>45139</v>
      </c>
      <c r="E252" s="41">
        <v>45139</v>
      </c>
      <c r="G252" s="43" t="s">
        <v>600</v>
      </c>
      <c r="H252" s="43" t="s">
        <v>600</v>
      </c>
      <c r="I252" s="43"/>
      <c r="J252" s="43" t="s">
        <v>3</v>
      </c>
      <c r="K252" s="43" t="s">
        <v>12</v>
      </c>
      <c r="L252" s="44" t="str">
        <f>IF(Tabla2[[#This Row],[Fecha de Resp]]&gt;Tabla2[[#This Row],[Fecha MAX de Resp]],"Retrasado",IF(Tabla2[[#This Row],[Fecha de Resp]]=0,"Pendiente",IF(Tabla2[[#This Row],[Fecha de Resp]]&lt;=Tabla2[[#This Row],[Fecha MAX de Resp]],"A Tiempo",0)))</f>
        <v>A Tiempo</v>
      </c>
      <c r="M252" s="43"/>
      <c r="N252" s="44"/>
      <c r="O252" s="48" t="b">
        <f>EXACT(Tabla2[[#This Row],[Fecha de Recibido]],Tabla2[[#This Row],[Fecha MAX de Resp]])</f>
        <v>0</v>
      </c>
      <c r="P252" s="48" t="b">
        <f>EXACT(Tabla2[[#This Row],[Fecha de Recibido]],Tabla2[[#This Row],[Fecha de Resp]])</f>
        <v>0</v>
      </c>
      <c r="Q252" s="45">
        <f>DATE(YEAR(Tabla2[[#This Row],[Fecha de Recibido]]),MONTH(Tabla2[[#This Row],[Fecha de Recibido]]),1)</f>
        <v>45108</v>
      </c>
      <c r="R252" s="45" t="s">
        <v>63</v>
      </c>
    </row>
    <row r="253" spans="1:18" s="42" customFormat="1" ht="37.5" customHeight="1">
      <c r="A253" s="63">
        <v>45117</v>
      </c>
      <c r="B253" s="42" t="s">
        <v>601</v>
      </c>
      <c r="C253" s="42" t="s">
        <v>602</v>
      </c>
      <c r="D253" s="41">
        <v>45124</v>
      </c>
      <c r="E253" s="41">
        <v>45124</v>
      </c>
      <c r="G253" s="43" t="s">
        <v>603</v>
      </c>
      <c r="H253" s="43" t="s">
        <v>603</v>
      </c>
      <c r="I253" s="43" t="s">
        <v>604</v>
      </c>
      <c r="J253" s="43" t="s">
        <v>3</v>
      </c>
      <c r="K253" s="43" t="s">
        <v>12</v>
      </c>
      <c r="L253" s="44" t="str">
        <f>IF(Tabla2[[#This Row],[Fecha de Resp]]&gt;Tabla2[[#This Row],[Fecha MAX de Resp]],"Retrasado",IF(Tabla2[[#This Row],[Fecha de Resp]]=0,"Pendiente",IF(Tabla2[[#This Row],[Fecha de Resp]]&lt;=Tabla2[[#This Row],[Fecha MAX de Resp]],"A Tiempo",0)))</f>
        <v>A Tiempo</v>
      </c>
      <c r="M253" s="43"/>
      <c r="N253" s="44"/>
      <c r="O253" s="48" t="b">
        <f>EXACT(Tabla2[[#This Row],[Fecha de Recibido]],Tabla2[[#This Row],[Fecha MAX de Resp]])</f>
        <v>0</v>
      </c>
      <c r="P253" s="48" t="b">
        <f>EXACT(Tabla2[[#This Row],[Fecha de Recibido]],Tabla2[[#This Row],[Fecha de Resp]])</f>
        <v>0</v>
      </c>
      <c r="Q253" s="45">
        <f>DATE(YEAR(Tabla2[[#This Row],[Fecha de Recibido]]),MONTH(Tabla2[[#This Row],[Fecha de Recibido]]),1)</f>
        <v>45108</v>
      </c>
      <c r="R253" s="45" t="s">
        <v>63</v>
      </c>
    </row>
    <row r="254" spans="1:18" s="42" customFormat="1" ht="37.5" customHeight="1">
      <c r="A254" s="63">
        <v>45117</v>
      </c>
      <c r="B254" s="42" t="s">
        <v>601</v>
      </c>
      <c r="C254" s="42" t="s">
        <v>605</v>
      </c>
      <c r="D254" s="41">
        <v>45124</v>
      </c>
      <c r="E254" s="41">
        <v>45120</v>
      </c>
      <c r="F254" s="42" t="s">
        <v>606</v>
      </c>
      <c r="G254" s="43" t="s">
        <v>607</v>
      </c>
      <c r="H254" s="43" t="s">
        <v>608</v>
      </c>
      <c r="I254" s="43"/>
      <c r="J254" s="43" t="s">
        <v>3</v>
      </c>
      <c r="K254" s="43" t="s">
        <v>25</v>
      </c>
      <c r="L254" s="44" t="str">
        <f>IF(Tabla2[[#This Row],[Fecha de Resp]]&gt;Tabla2[[#This Row],[Fecha MAX de Resp]],"Retrasado",IF(Tabla2[[#This Row],[Fecha de Resp]]=0,"Pendiente",IF(Tabla2[[#This Row],[Fecha de Resp]]&lt;=Tabla2[[#This Row],[Fecha MAX de Resp]],"A Tiempo",0)))</f>
        <v>A Tiempo</v>
      </c>
      <c r="M254" s="45">
        <v>45117</v>
      </c>
      <c r="N254" s="44"/>
      <c r="O254" s="48" t="b">
        <f>EXACT(Tabla2[[#This Row],[Fecha de Recibido]],Tabla2[[#This Row],[Fecha MAX de Resp]])</f>
        <v>0</v>
      </c>
      <c r="P254" s="48" t="b">
        <f>EXACT(Tabla2[[#This Row],[Fecha de Recibido]],Tabla2[[#This Row],[Fecha de Resp]])</f>
        <v>0</v>
      </c>
      <c r="Q254" s="45">
        <f>DATE(YEAR(Tabla2[[#This Row],[Fecha de Recibido]]),MONTH(Tabla2[[#This Row],[Fecha de Recibido]]),1)</f>
        <v>45108</v>
      </c>
      <c r="R254" s="45" t="s">
        <v>63</v>
      </c>
    </row>
    <row r="255" spans="1:18" s="42" customFormat="1" ht="37.5" customHeight="1">
      <c r="A255" s="63">
        <v>45114</v>
      </c>
      <c r="B255" s="42" t="s">
        <v>17</v>
      </c>
      <c r="C255" s="42" t="s">
        <v>609</v>
      </c>
      <c r="D255" s="41">
        <v>45126</v>
      </c>
      <c r="E255" s="41">
        <v>45126</v>
      </c>
      <c r="F255" s="42" t="s">
        <v>610</v>
      </c>
      <c r="G255" s="43" t="s">
        <v>611</v>
      </c>
      <c r="H255" s="43"/>
      <c r="I255" s="43"/>
      <c r="J255" s="43" t="s">
        <v>3</v>
      </c>
      <c r="K255" s="43" t="s">
        <v>4</v>
      </c>
      <c r="L255" s="44" t="str">
        <f>IF(Tabla2[[#This Row],[Fecha de Resp]]&gt;Tabla2[[#This Row],[Fecha MAX de Resp]],"Retrasado",IF(Tabla2[[#This Row],[Fecha de Resp]]=0,"Pendiente",IF(Tabla2[[#This Row],[Fecha de Resp]]&lt;=Tabla2[[#This Row],[Fecha MAX de Resp]],"A Tiempo",0)))</f>
        <v>A Tiempo</v>
      </c>
      <c r="M255" s="45">
        <v>45117</v>
      </c>
      <c r="N255" s="44"/>
      <c r="O255" s="48" t="b">
        <f>EXACT(Tabla2[[#This Row],[Fecha de Recibido]],Tabla2[[#This Row],[Fecha MAX de Resp]])</f>
        <v>0</v>
      </c>
      <c r="P255" s="48" t="b">
        <f>EXACT(Tabla2[[#This Row],[Fecha de Recibido]],Tabla2[[#This Row],[Fecha de Resp]])</f>
        <v>0</v>
      </c>
      <c r="Q255" s="45">
        <f>DATE(YEAR(Tabla2[[#This Row],[Fecha de Recibido]]),MONTH(Tabla2[[#This Row],[Fecha de Recibido]]),1)</f>
        <v>45108</v>
      </c>
      <c r="R255" s="45" t="s">
        <v>63</v>
      </c>
    </row>
    <row r="256" spans="1:18" s="42" customFormat="1" ht="37.5" customHeight="1">
      <c r="A256" s="63">
        <v>45114</v>
      </c>
      <c r="B256" s="42" t="s">
        <v>41</v>
      </c>
      <c r="C256" s="42" t="s">
        <v>612</v>
      </c>
      <c r="D256" s="41">
        <v>45135</v>
      </c>
      <c r="E256" s="41">
        <v>45135</v>
      </c>
      <c r="F256" s="42" t="s">
        <v>613</v>
      </c>
      <c r="G256" s="43" t="s">
        <v>614</v>
      </c>
      <c r="H256" s="43"/>
      <c r="I256" s="43"/>
      <c r="J256" s="43" t="s">
        <v>3</v>
      </c>
      <c r="K256" s="43" t="s">
        <v>25</v>
      </c>
      <c r="L256" s="44" t="str">
        <f>IF(Tabla2[[#This Row],[Fecha de Resp]]&gt;Tabla2[[#This Row],[Fecha MAX de Resp]],"Retrasado",IF(Tabla2[[#This Row],[Fecha de Resp]]=0,"Pendiente",IF(Tabla2[[#This Row],[Fecha de Resp]]&lt;=Tabla2[[#This Row],[Fecha MAX de Resp]],"A Tiempo",0)))</f>
        <v>A Tiempo</v>
      </c>
      <c r="M256" s="45">
        <v>45114</v>
      </c>
      <c r="N256" s="44"/>
      <c r="O256" s="48" t="b">
        <f>EXACT(Tabla2[[#This Row],[Fecha de Recibido]],Tabla2[[#This Row],[Fecha MAX de Resp]])</f>
        <v>0</v>
      </c>
      <c r="P256" s="48" t="b">
        <f>EXACT(Tabla2[[#This Row],[Fecha de Recibido]],Tabla2[[#This Row],[Fecha de Resp]])</f>
        <v>0</v>
      </c>
      <c r="Q256" s="45">
        <f>DATE(YEAR(Tabla2[[#This Row],[Fecha de Recibido]]),MONTH(Tabla2[[#This Row],[Fecha de Recibido]]),1)</f>
        <v>45108</v>
      </c>
      <c r="R256" s="45" t="s">
        <v>63</v>
      </c>
    </row>
    <row r="257" spans="1:18" s="42" customFormat="1" ht="37.5" customHeight="1">
      <c r="A257" s="63">
        <v>45113</v>
      </c>
      <c r="B257" s="42" t="s">
        <v>17</v>
      </c>
      <c r="C257" s="42" t="s">
        <v>615</v>
      </c>
      <c r="D257" s="41">
        <v>45113</v>
      </c>
      <c r="E257" s="41">
        <v>45113</v>
      </c>
      <c r="F257" s="42" t="s">
        <v>616</v>
      </c>
      <c r="G257" s="43" t="s">
        <v>617</v>
      </c>
      <c r="H257" s="43"/>
      <c r="I257" s="43"/>
      <c r="J257" s="43" t="s">
        <v>3</v>
      </c>
      <c r="K257" s="43" t="s">
        <v>465</v>
      </c>
      <c r="L257" s="44" t="str">
        <f>IF(Tabla2[[#This Row],[Fecha de Resp]]&gt;Tabla2[[#This Row],[Fecha MAX de Resp]],"Retrasado",IF(Tabla2[[#This Row],[Fecha de Resp]]=0,"Pendiente",IF(Tabla2[[#This Row],[Fecha de Resp]]&lt;=Tabla2[[#This Row],[Fecha MAX de Resp]],"A Tiempo",0)))</f>
        <v>A Tiempo</v>
      </c>
      <c r="M257" s="43"/>
      <c r="N257" s="44"/>
      <c r="O257" s="48" t="b">
        <f>EXACT(Tabla2[[#This Row],[Fecha de Recibido]],Tabla2[[#This Row],[Fecha MAX de Resp]])</f>
        <v>1</v>
      </c>
      <c r="P257" s="48" t="b">
        <f>EXACT(Tabla2[[#This Row],[Fecha de Recibido]],Tabla2[[#This Row],[Fecha de Resp]])</f>
        <v>1</v>
      </c>
      <c r="Q257" s="45">
        <f>DATE(YEAR(Tabla2[[#This Row],[Fecha de Recibido]]),MONTH(Tabla2[[#This Row],[Fecha de Recibido]]),1)</f>
        <v>45108</v>
      </c>
      <c r="R257" s="45" t="s">
        <v>63</v>
      </c>
    </row>
    <row r="258" spans="1:18" s="42" customFormat="1" ht="49.5" customHeight="1">
      <c r="A258" s="63">
        <v>45112</v>
      </c>
      <c r="B258" s="42" t="s">
        <v>32</v>
      </c>
      <c r="C258" s="42" t="s">
        <v>618</v>
      </c>
      <c r="D258" s="41">
        <v>45114</v>
      </c>
      <c r="E258" s="41">
        <v>45114</v>
      </c>
      <c r="F258" s="42" t="s">
        <v>619</v>
      </c>
      <c r="G258" s="43" t="s">
        <v>620</v>
      </c>
      <c r="H258" s="43" t="s">
        <v>621</v>
      </c>
      <c r="I258" s="43" t="s">
        <v>622</v>
      </c>
      <c r="J258" s="43" t="s">
        <v>3</v>
      </c>
      <c r="K258" s="43" t="s">
        <v>4</v>
      </c>
      <c r="L258" s="44" t="str">
        <f>IF(Tabla2[[#This Row],[Fecha de Resp]]&gt;Tabla2[[#This Row],[Fecha MAX de Resp]],"Retrasado",IF(Tabla2[[#This Row],[Fecha de Resp]]=0,"Pendiente",IF(Tabla2[[#This Row],[Fecha de Resp]]&lt;=Tabla2[[#This Row],[Fecha MAX de Resp]],"A Tiempo",0)))</f>
        <v>A Tiempo</v>
      </c>
      <c r="M258" s="45">
        <v>45112</v>
      </c>
      <c r="N258" s="44"/>
      <c r="O258" s="48" t="b">
        <f>EXACT(Tabla2[[#This Row],[Fecha de Recibido]],Tabla2[[#This Row],[Fecha MAX de Resp]])</f>
        <v>0</v>
      </c>
      <c r="P258" s="48" t="b">
        <f>EXACT(Tabla2[[#This Row],[Fecha de Recibido]],Tabla2[[#This Row],[Fecha de Resp]])</f>
        <v>0</v>
      </c>
      <c r="Q258" s="45">
        <f>DATE(YEAR(Tabla2[[#This Row],[Fecha de Recibido]]),MONTH(Tabla2[[#This Row],[Fecha de Recibido]]),1)</f>
        <v>45108</v>
      </c>
      <c r="R258" s="45" t="s">
        <v>63</v>
      </c>
    </row>
    <row r="259" spans="1:18" s="42" customFormat="1" ht="37.5" customHeight="1">
      <c r="A259" s="63">
        <v>45112</v>
      </c>
      <c r="B259" s="42" t="s">
        <v>40</v>
      </c>
      <c r="C259" s="42" t="s">
        <v>623</v>
      </c>
      <c r="D259" s="41">
        <v>45112</v>
      </c>
      <c r="E259" s="41">
        <v>45112</v>
      </c>
      <c r="F259" s="42" t="s">
        <v>624</v>
      </c>
      <c r="G259" s="43" t="s">
        <v>625</v>
      </c>
      <c r="H259" s="43"/>
      <c r="I259" s="43"/>
      <c r="J259" s="43" t="s">
        <v>3</v>
      </c>
      <c r="K259" s="43" t="s">
        <v>465</v>
      </c>
      <c r="L259" s="44" t="str">
        <f>IF(Tabla2[[#This Row],[Fecha de Resp]]&gt;Tabla2[[#This Row],[Fecha MAX de Resp]],"Retrasado",IF(Tabla2[[#This Row],[Fecha de Resp]]=0,"Pendiente",IF(Tabla2[[#This Row],[Fecha de Resp]]&lt;=Tabla2[[#This Row],[Fecha MAX de Resp]],"A Tiempo",0)))</f>
        <v>A Tiempo</v>
      </c>
      <c r="M259" s="45">
        <v>45112</v>
      </c>
      <c r="N259" s="44"/>
      <c r="O259" s="48" t="b">
        <f>EXACT(Tabla2[[#This Row],[Fecha de Recibido]],Tabla2[[#This Row],[Fecha MAX de Resp]])</f>
        <v>1</v>
      </c>
      <c r="P259" s="48" t="b">
        <f>EXACT(Tabla2[[#This Row],[Fecha de Recibido]],Tabla2[[#This Row],[Fecha de Resp]])</f>
        <v>1</v>
      </c>
      <c r="Q259" s="45">
        <f>DATE(YEAR(Tabla2[[#This Row],[Fecha de Recibido]]),MONTH(Tabla2[[#This Row],[Fecha de Recibido]]),1)</f>
        <v>45108</v>
      </c>
      <c r="R259" s="45" t="s">
        <v>63</v>
      </c>
    </row>
    <row r="260" spans="1:18" s="42" customFormat="1" ht="37.5" customHeight="1">
      <c r="A260" s="63">
        <v>45111</v>
      </c>
      <c r="B260" s="42" t="s">
        <v>32</v>
      </c>
      <c r="C260" s="42" t="s">
        <v>626</v>
      </c>
      <c r="D260" s="41">
        <v>45113</v>
      </c>
      <c r="E260" s="41">
        <v>45113</v>
      </c>
      <c r="F260" s="42" t="s">
        <v>627</v>
      </c>
      <c r="G260" s="43" t="s">
        <v>628</v>
      </c>
      <c r="H260" s="43"/>
      <c r="I260" s="43" t="s">
        <v>629</v>
      </c>
      <c r="J260" s="43" t="s">
        <v>3</v>
      </c>
      <c r="K260" s="43" t="s">
        <v>9</v>
      </c>
      <c r="L260" s="44" t="str">
        <f>IF(Tabla2[[#This Row],[Fecha de Resp]]&gt;Tabla2[[#This Row],[Fecha MAX de Resp]],"Retrasado",IF(Tabla2[[#This Row],[Fecha de Resp]]=0,"Pendiente",IF(Tabla2[[#This Row],[Fecha de Resp]]&lt;=Tabla2[[#This Row],[Fecha MAX de Resp]],"A Tiempo",0)))</f>
        <v>A Tiempo</v>
      </c>
      <c r="M260" s="45">
        <v>45113</v>
      </c>
      <c r="N260" s="44"/>
      <c r="O260" s="48" t="b">
        <f>EXACT(Tabla2[[#This Row],[Fecha de Recibido]],Tabla2[[#This Row],[Fecha MAX de Resp]])</f>
        <v>0</v>
      </c>
      <c r="P260" s="48" t="b">
        <f>EXACT(Tabla2[[#This Row],[Fecha de Recibido]],Tabla2[[#This Row],[Fecha de Resp]])</f>
        <v>0</v>
      </c>
      <c r="Q260" s="45">
        <f>DATE(YEAR(Tabla2[[#This Row],[Fecha de Recibido]]),MONTH(Tabla2[[#This Row],[Fecha de Recibido]]),1)</f>
        <v>45108</v>
      </c>
      <c r="R260" s="45" t="s">
        <v>63</v>
      </c>
    </row>
    <row r="261" spans="1:18" s="42" customFormat="1" ht="37.5" customHeight="1">
      <c r="A261" s="63">
        <v>45111</v>
      </c>
      <c r="B261" s="42" t="s">
        <v>17</v>
      </c>
      <c r="C261" s="42" t="s">
        <v>630</v>
      </c>
      <c r="D261" s="41">
        <v>45118</v>
      </c>
      <c r="E261" s="41">
        <v>45117</v>
      </c>
      <c r="F261" s="42" t="s">
        <v>631</v>
      </c>
      <c r="G261" s="43" t="s">
        <v>632</v>
      </c>
      <c r="H261" s="43"/>
      <c r="I261" s="43" t="s">
        <v>633</v>
      </c>
      <c r="J261" s="43" t="s">
        <v>3</v>
      </c>
      <c r="K261" s="43" t="s">
        <v>4</v>
      </c>
      <c r="L261" s="44" t="str">
        <f>IF(Tabla2[[#This Row],[Fecha de Resp]]&gt;Tabla2[[#This Row],[Fecha MAX de Resp]],"Retrasado",IF(Tabla2[[#This Row],[Fecha de Resp]]=0,"Pendiente",IF(Tabla2[[#This Row],[Fecha de Resp]]&lt;=Tabla2[[#This Row],[Fecha MAX de Resp]],"A Tiempo",0)))</f>
        <v>A Tiempo</v>
      </c>
      <c r="M261" s="45">
        <v>45111</v>
      </c>
      <c r="N261" s="44"/>
      <c r="O261" s="48" t="b">
        <f>EXACT(Tabla2[[#This Row],[Fecha de Recibido]],Tabla2[[#This Row],[Fecha MAX de Resp]])</f>
        <v>0</v>
      </c>
      <c r="P261" s="48" t="b">
        <f>EXACT(Tabla2[[#This Row],[Fecha de Recibido]],Tabla2[[#This Row],[Fecha de Resp]])</f>
        <v>0</v>
      </c>
      <c r="Q261" s="45">
        <f>DATE(YEAR(Tabla2[[#This Row],[Fecha de Recibido]]),MONTH(Tabla2[[#This Row],[Fecha de Recibido]]),1)</f>
        <v>45108</v>
      </c>
      <c r="R261" s="45" t="s">
        <v>63</v>
      </c>
    </row>
    <row r="262" spans="1:18" s="42" customFormat="1" ht="37.5" customHeight="1">
      <c r="A262" s="63">
        <v>45105</v>
      </c>
      <c r="B262" s="42" t="s">
        <v>26</v>
      </c>
      <c r="C262" s="42" t="s">
        <v>634</v>
      </c>
      <c r="D262" s="41">
        <v>45111</v>
      </c>
      <c r="E262" s="41">
        <v>45111</v>
      </c>
      <c r="F262" s="49" t="s">
        <v>635</v>
      </c>
      <c r="G262" s="43" t="s">
        <v>636</v>
      </c>
      <c r="H262" s="43"/>
      <c r="I262" s="43"/>
      <c r="J262" s="43" t="s">
        <v>8</v>
      </c>
      <c r="K262" s="43" t="s">
        <v>534</v>
      </c>
      <c r="L262" s="44" t="str">
        <f>IF(Tabla2[[#This Row],[Fecha de Resp]]&gt;Tabla2[[#This Row],[Fecha MAX de Resp]],"Retrasado",IF(Tabla2[[#This Row],[Fecha de Resp]]=0,"Pendiente",IF(Tabla2[[#This Row],[Fecha de Resp]]&lt;=Tabla2[[#This Row],[Fecha MAX de Resp]],"A Tiempo",0)))</f>
        <v>A Tiempo</v>
      </c>
      <c r="M262" s="45">
        <v>45105</v>
      </c>
      <c r="N262" s="44"/>
      <c r="O262" s="48" t="b">
        <f>EXACT(Tabla2[[#This Row],[Fecha de Recibido]],Tabla2[[#This Row],[Fecha MAX de Resp]])</f>
        <v>0</v>
      </c>
      <c r="P262" s="48" t="b">
        <f>EXACT(Tabla2[[#This Row],[Fecha de Recibido]],Tabla2[[#This Row],[Fecha de Resp]])</f>
        <v>0</v>
      </c>
      <c r="Q262" s="45">
        <f>DATE(YEAR(Tabla2[[#This Row],[Fecha de Recibido]]),MONTH(Tabla2[[#This Row],[Fecha de Recibido]]),1)</f>
        <v>45078</v>
      </c>
      <c r="R262" s="45" t="s">
        <v>63</v>
      </c>
    </row>
    <row r="263" spans="1:18" s="42" customFormat="1" ht="37.5" customHeight="1">
      <c r="A263" s="63">
        <v>45104</v>
      </c>
      <c r="B263" s="42" t="s">
        <v>32</v>
      </c>
      <c r="C263" s="42" t="s">
        <v>637</v>
      </c>
      <c r="D263" s="41">
        <v>45126</v>
      </c>
      <c r="E263" s="41">
        <v>45126</v>
      </c>
      <c r="F263" s="42" t="s">
        <v>638</v>
      </c>
      <c r="G263" s="43" t="s">
        <v>639</v>
      </c>
      <c r="H263" s="43"/>
      <c r="I263" s="43"/>
      <c r="J263" s="43" t="s">
        <v>8</v>
      </c>
      <c r="K263" s="43" t="s">
        <v>360</v>
      </c>
      <c r="L263" s="44" t="str">
        <f>IF(Tabla2[[#This Row],[Fecha de Resp]]&gt;Tabla2[[#This Row],[Fecha MAX de Resp]],"Retrasado",IF(Tabla2[[#This Row],[Fecha de Resp]]=0,"Pendiente",IF(Tabla2[[#This Row],[Fecha de Resp]]&lt;=Tabla2[[#This Row],[Fecha MAX de Resp]],"A Tiempo",0)))</f>
        <v>A Tiempo</v>
      </c>
      <c r="M263" s="43"/>
      <c r="N263" s="44"/>
      <c r="O263" s="48" t="b">
        <f>EXACT(Tabla2[[#This Row],[Fecha de Recibido]],Tabla2[[#This Row],[Fecha MAX de Resp]])</f>
        <v>0</v>
      </c>
      <c r="P263" s="48" t="b">
        <f>EXACT(Tabla2[[#This Row],[Fecha de Recibido]],Tabla2[[#This Row],[Fecha de Resp]])</f>
        <v>0</v>
      </c>
      <c r="Q263" s="45">
        <f>DATE(YEAR(Tabla2[[#This Row],[Fecha de Recibido]]),MONTH(Tabla2[[#This Row],[Fecha de Recibido]]),1)</f>
        <v>45078</v>
      </c>
      <c r="R263" s="45" t="s">
        <v>63</v>
      </c>
    </row>
    <row r="264" spans="1:18" s="42" customFormat="1" ht="37.5" customHeight="1">
      <c r="A264" s="63">
        <v>45103</v>
      </c>
      <c r="B264" s="42" t="s">
        <v>32</v>
      </c>
      <c r="C264" s="42" t="s">
        <v>353</v>
      </c>
      <c r="D264" s="41">
        <v>45153</v>
      </c>
      <c r="E264" s="41">
        <v>45153</v>
      </c>
      <c r="G264" s="43"/>
      <c r="H264" s="43" t="s">
        <v>640</v>
      </c>
      <c r="I264" s="43" t="s">
        <v>641</v>
      </c>
      <c r="J264" s="43" t="s">
        <v>8</v>
      </c>
      <c r="K264" s="43" t="s">
        <v>352</v>
      </c>
      <c r="L264" s="44" t="str">
        <f>IF(Tabla2[[#This Row],[Fecha de Resp]]&gt;Tabla2[[#This Row],[Fecha MAX de Resp]],"Retrasado",IF(Tabla2[[#This Row],[Fecha de Resp]]=0,"Pendiente",IF(Tabla2[[#This Row],[Fecha de Resp]]&lt;=Tabla2[[#This Row],[Fecha MAX de Resp]],"A Tiempo",0)))</f>
        <v>A Tiempo</v>
      </c>
      <c r="M264" s="45">
        <v>45123</v>
      </c>
      <c r="N264" s="44" t="s">
        <v>642</v>
      </c>
      <c r="O264" s="48" t="b">
        <f>EXACT(Tabla2[[#This Row],[Fecha de Recibido]],Tabla2[[#This Row],[Fecha MAX de Resp]])</f>
        <v>0</v>
      </c>
      <c r="P264" s="48" t="b">
        <f>EXACT(Tabla2[[#This Row],[Fecha de Recibido]],Tabla2[[#This Row],[Fecha de Resp]])</f>
        <v>0</v>
      </c>
      <c r="Q264" s="45">
        <f>DATE(YEAR(Tabla2[[#This Row],[Fecha de Recibido]]),MONTH(Tabla2[[#This Row],[Fecha de Recibido]]),1)</f>
        <v>45078</v>
      </c>
      <c r="R264" s="45" t="s">
        <v>63</v>
      </c>
    </row>
    <row r="265" spans="1:18" s="42" customFormat="1" ht="37.5" customHeight="1">
      <c r="A265" s="63">
        <v>45103</v>
      </c>
      <c r="B265" s="42" t="s">
        <v>32</v>
      </c>
      <c r="C265" s="42" t="s">
        <v>643</v>
      </c>
      <c r="D265" s="41">
        <v>45153</v>
      </c>
      <c r="E265" s="41">
        <v>45153</v>
      </c>
      <c r="G265" s="43"/>
      <c r="H265" s="43" t="s">
        <v>644</v>
      </c>
      <c r="I265" s="43" t="s">
        <v>641</v>
      </c>
      <c r="J265" s="48" t="s">
        <v>14</v>
      </c>
      <c r="K265" s="43" t="s">
        <v>352</v>
      </c>
      <c r="L265" s="44" t="str">
        <f>IF(Tabla2[[#This Row],[Fecha de Resp]]&gt;Tabla2[[#This Row],[Fecha MAX de Resp]],"Retrasado",IF(Tabla2[[#This Row],[Fecha de Resp]]=0,"Pendiente",IF(Tabla2[[#This Row],[Fecha de Resp]]&lt;=Tabla2[[#This Row],[Fecha MAX de Resp]],"A Tiempo",0)))</f>
        <v>A Tiempo</v>
      </c>
      <c r="M265" s="45">
        <v>45123</v>
      </c>
      <c r="N265" s="44" t="s">
        <v>645</v>
      </c>
      <c r="O265" s="48" t="b">
        <f>EXACT(Tabla2[[#This Row],[Fecha de Recibido]],Tabla2[[#This Row],[Fecha MAX de Resp]])</f>
        <v>0</v>
      </c>
      <c r="P265" s="48" t="b">
        <f>EXACT(Tabla2[[#This Row],[Fecha de Recibido]],Tabla2[[#This Row],[Fecha de Resp]])</f>
        <v>0</v>
      </c>
      <c r="Q265" s="45">
        <f>DATE(YEAR(Tabla2[[#This Row],[Fecha de Recibido]]),MONTH(Tabla2[[#This Row],[Fecha de Recibido]]),1)</f>
        <v>45078</v>
      </c>
      <c r="R265" s="45" t="s">
        <v>63</v>
      </c>
    </row>
    <row r="266" spans="1:18" s="42" customFormat="1" ht="37.5" customHeight="1">
      <c r="A266" s="63">
        <v>45103</v>
      </c>
      <c r="B266" s="42" t="s">
        <v>32</v>
      </c>
      <c r="C266" s="42" t="s">
        <v>646</v>
      </c>
      <c r="D266" s="41">
        <v>45153</v>
      </c>
      <c r="E266" s="41">
        <v>45153</v>
      </c>
      <c r="G266" s="48"/>
      <c r="H266" s="43" t="s">
        <v>647</v>
      </c>
      <c r="I266" s="43" t="s">
        <v>641</v>
      </c>
      <c r="J266" s="43" t="s">
        <v>3</v>
      </c>
      <c r="K266" s="43" t="s">
        <v>352</v>
      </c>
      <c r="L266" s="44" t="str">
        <f>IF(Tabla2[[#This Row],[Fecha de Resp]]&gt;Tabla2[[#This Row],[Fecha MAX de Resp]],"Retrasado",IF(Tabla2[[#This Row],[Fecha de Resp]]=0,"Pendiente",IF(Tabla2[[#This Row],[Fecha de Resp]]&lt;=Tabla2[[#This Row],[Fecha MAX de Resp]],"A Tiempo",0)))</f>
        <v>A Tiempo</v>
      </c>
      <c r="M266" s="45">
        <v>45123</v>
      </c>
      <c r="N266" s="44" t="s">
        <v>648</v>
      </c>
      <c r="O266" s="48" t="b">
        <f>EXACT(Tabla2[[#This Row],[Fecha de Recibido]],Tabla2[[#This Row],[Fecha MAX de Resp]])</f>
        <v>0</v>
      </c>
      <c r="P266" s="48" t="b">
        <f>EXACT(Tabla2[[#This Row],[Fecha de Recibido]],Tabla2[[#This Row],[Fecha de Resp]])</f>
        <v>0</v>
      </c>
      <c r="Q266" s="45">
        <f>DATE(YEAR(Tabla2[[#This Row],[Fecha de Recibido]]),MONTH(Tabla2[[#This Row],[Fecha de Recibido]]),1)</f>
        <v>45078</v>
      </c>
      <c r="R266" s="45" t="s">
        <v>63</v>
      </c>
    </row>
    <row r="267" spans="1:18" s="42" customFormat="1" ht="37.5" customHeight="1">
      <c r="A267" s="63">
        <v>45103</v>
      </c>
      <c r="B267" s="42" t="s">
        <v>32</v>
      </c>
      <c r="C267" s="42" t="s">
        <v>649</v>
      </c>
      <c r="D267" s="41">
        <v>45126</v>
      </c>
      <c r="E267" s="41">
        <v>45126</v>
      </c>
      <c r="G267" s="43" t="s">
        <v>650</v>
      </c>
      <c r="H267" s="43" t="s">
        <v>651</v>
      </c>
      <c r="I267" s="43"/>
      <c r="J267" s="43" t="s">
        <v>3</v>
      </c>
      <c r="K267" s="43" t="s">
        <v>360</v>
      </c>
      <c r="L267" s="44" t="str">
        <f>IF(Tabla2[[#This Row],[Fecha de Resp]]&gt;Tabla2[[#This Row],[Fecha MAX de Resp]],"Retrasado",IF(Tabla2[[#This Row],[Fecha de Resp]]=0,"Pendiente",IF(Tabla2[[#This Row],[Fecha de Resp]]&lt;=Tabla2[[#This Row],[Fecha MAX de Resp]],"A Tiempo",0)))</f>
        <v>A Tiempo</v>
      </c>
      <c r="M267" s="45">
        <v>45126</v>
      </c>
      <c r="N267" s="44" t="s">
        <v>652</v>
      </c>
      <c r="O267" s="48" t="b">
        <f>EXACT(Tabla2[[#This Row],[Fecha de Recibido]],Tabla2[[#This Row],[Fecha MAX de Resp]])</f>
        <v>0</v>
      </c>
      <c r="P267" s="48" t="b">
        <f>EXACT(Tabla2[[#This Row],[Fecha de Recibido]],Tabla2[[#This Row],[Fecha de Resp]])</f>
        <v>0</v>
      </c>
      <c r="Q267" s="45">
        <f>DATE(YEAR(Tabla2[[#This Row],[Fecha de Recibido]]),MONTH(Tabla2[[#This Row],[Fecha de Recibido]]),1)</f>
        <v>45078</v>
      </c>
      <c r="R267" s="45" t="s">
        <v>63</v>
      </c>
    </row>
    <row r="268" spans="1:18" s="42" customFormat="1" ht="37.5" customHeight="1">
      <c r="A268" s="63">
        <v>45103</v>
      </c>
      <c r="B268" s="42" t="s">
        <v>32</v>
      </c>
      <c r="C268" s="42" t="s">
        <v>653</v>
      </c>
      <c r="D268" s="41">
        <v>45126</v>
      </c>
      <c r="E268" s="41">
        <v>45126</v>
      </c>
      <c r="G268" s="43" t="s">
        <v>654</v>
      </c>
      <c r="H268" s="43"/>
      <c r="I268" s="43"/>
      <c r="J268" s="43" t="s">
        <v>3</v>
      </c>
      <c r="K268" s="43" t="s">
        <v>360</v>
      </c>
      <c r="L268" s="44" t="str">
        <f>IF(Tabla2[[#This Row],[Fecha de Resp]]&gt;Tabla2[[#This Row],[Fecha MAX de Resp]],"Retrasado",IF(Tabla2[[#This Row],[Fecha de Resp]]=0,"Pendiente",IF(Tabla2[[#This Row],[Fecha de Resp]]&lt;=Tabla2[[#This Row],[Fecha MAX de Resp]],"A Tiempo",0)))</f>
        <v>A Tiempo</v>
      </c>
      <c r="M268" s="45">
        <v>45126</v>
      </c>
      <c r="N268" s="44" t="s">
        <v>655</v>
      </c>
      <c r="O268" s="48" t="b">
        <f>EXACT(Tabla2[[#This Row],[Fecha de Recibido]],Tabla2[[#This Row],[Fecha MAX de Resp]])</f>
        <v>0</v>
      </c>
      <c r="P268" s="48" t="b">
        <f>EXACT(Tabla2[[#This Row],[Fecha de Recibido]],Tabla2[[#This Row],[Fecha de Resp]])</f>
        <v>0</v>
      </c>
      <c r="Q268" s="45">
        <f>DATE(YEAR(Tabla2[[#This Row],[Fecha de Recibido]]),MONTH(Tabla2[[#This Row],[Fecha de Recibido]]),1)</f>
        <v>45078</v>
      </c>
      <c r="R268" s="45" t="s">
        <v>63</v>
      </c>
    </row>
    <row r="269" spans="1:18" s="42" customFormat="1" ht="37.5" customHeight="1">
      <c r="A269" s="63">
        <v>45099</v>
      </c>
      <c r="B269" s="42" t="s">
        <v>32</v>
      </c>
      <c r="C269" s="42" t="s">
        <v>656</v>
      </c>
      <c r="D269" s="41">
        <v>45099</v>
      </c>
      <c r="E269" s="41">
        <v>45099</v>
      </c>
      <c r="F269" s="42" t="s">
        <v>657</v>
      </c>
      <c r="G269" s="43" t="s">
        <v>658</v>
      </c>
      <c r="H269" s="43" t="s">
        <v>659</v>
      </c>
      <c r="I269" s="43" t="s">
        <v>660</v>
      </c>
      <c r="J269" s="43" t="s">
        <v>3</v>
      </c>
      <c r="K269" s="43" t="s">
        <v>352</v>
      </c>
      <c r="L269" s="44" t="str">
        <f>IF(Tabla2[[#This Row],[Fecha de Resp]]&gt;Tabla2[[#This Row],[Fecha MAX de Resp]],"Retrasado",IF(Tabla2[[#This Row],[Fecha de Resp]]=0,"Pendiente",IF(Tabla2[[#This Row],[Fecha de Resp]]&lt;=Tabla2[[#This Row],[Fecha MAX de Resp]],"A Tiempo",0)))</f>
        <v>A Tiempo</v>
      </c>
      <c r="M269" s="57">
        <v>45099</v>
      </c>
      <c r="N269" s="44"/>
      <c r="O269" s="48" t="b">
        <f>EXACT(Tabla2[[#This Row],[Fecha de Recibido]],Tabla2[[#This Row],[Fecha MAX de Resp]])</f>
        <v>1</v>
      </c>
      <c r="P269" s="48" t="b">
        <f>EXACT(Tabla2[[#This Row],[Fecha de Recibido]],Tabla2[[#This Row],[Fecha de Resp]])</f>
        <v>1</v>
      </c>
      <c r="Q269" s="45">
        <f>DATE(YEAR(Tabla2[[#This Row],[Fecha de Recibido]]),MONTH(Tabla2[[#This Row],[Fecha de Recibido]]),1)</f>
        <v>45078</v>
      </c>
      <c r="R269" s="45" t="s">
        <v>63</v>
      </c>
    </row>
    <row r="270" spans="1:18" s="42" customFormat="1" ht="37.5" customHeight="1">
      <c r="A270" s="63">
        <v>45097</v>
      </c>
      <c r="B270" s="42" t="s">
        <v>32</v>
      </c>
      <c r="C270" s="42" t="s">
        <v>661</v>
      </c>
      <c r="D270" s="41">
        <v>45107</v>
      </c>
      <c r="E270" s="41">
        <v>45107</v>
      </c>
      <c r="F270" s="42" t="s">
        <v>662</v>
      </c>
      <c r="G270" s="43" t="s">
        <v>663</v>
      </c>
      <c r="H270" s="43"/>
      <c r="I270" s="43"/>
      <c r="J270" s="43" t="s">
        <v>8</v>
      </c>
      <c r="K270" s="47" t="s">
        <v>19</v>
      </c>
      <c r="L270" s="44" t="str">
        <f>IF(Tabla2[[#This Row],[Fecha de Resp]]&gt;Tabla2[[#This Row],[Fecha MAX de Resp]],"Retrasado",IF(Tabla2[[#This Row],[Fecha de Resp]]=0,"Pendiente",IF(Tabla2[[#This Row],[Fecha de Resp]]&lt;=Tabla2[[#This Row],[Fecha MAX de Resp]],"A Tiempo",0)))</f>
        <v>A Tiempo</v>
      </c>
      <c r="M270" s="45">
        <v>45097</v>
      </c>
      <c r="N270" s="44"/>
      <c r="O270" s="48" t="b">
        <f>EXACT(Tabla2[[#This Row],[Fecha de Recibido]],Tabla2[[#This Row],[Fecha MAX de Resp]])</f>
        <v>0</v>
      </c>
      <c r="P270" s="48" t="b">
        <f>EXACT(Tabla2[[#This Row],[Fecha de Recibido]],Tabla2[[#This Row],[Fecha de Resp]])</f>
        <v>0</v>
      </c>
      <c r="Q270" s="45">
        <f>DATE(YEAR(Tabla2[[#This Row],[Fecha de Recibido]]),MONTH(Tabla2[[#This Row],[Fecha de Recibido]]),1)</f>
        <v>45078</v>
      </c>
      <c r="R270" s="45" t="s">
        <v>63</v>
      </c>
    </row>
    <row r="271" spans="1:18" s="42" customFormat="1" ht="37.5" customHeight="1">
      <c r="A271" s="63">
        <v>45093</v>
      </c>
      <c r="B271" s="42" t="s">
        <v>32</v>
      </c>
      <c r="C271" s="42" t="s">
        <v>664</v>
      </c>
      <c r="D271" s="41">
        <v>45097</v>
      </c>
      <c r="E271" s="41">
        <v>45097</v>
      </c>
      <c r="F271" s="42" t="s">
        <v>665</v>
      </c>
      <c r="G271" s="43" t="s">
        <v>666</v>
      </c>
      <c r="H271" s="43"/>
      <c r="I271" s="43" t="s">
        <v>667</v>
      </c>
      <c r="J271" s="43" t="s">
        <v>3</v>
      </c>
      <c r="K271" s="43" t="s">
        <v>9</v>
      </c>
      <c r="L271" s="44" t="str">
        <f>IF(Tabla2[[#This Row],[Fecha de Resp]]&gt;Tabla2[[#This Row],[Fecha MAX de Resp]],"Retrasado",IF(Tabla2[[#This Row],[Fecha de Resp]]=0,"Pendiente",IF(Tabla2[[#This Row],[Fecha de Resp]]&lt;=Tabla2[[#This Row],[Fecha MAX de Resp]],"A Tiempo",0)))</f>
        <v>A Tiempo</v>
      </c>
      <c r="M271" s="45">
        <v>45097</v>
      </c>
      <c r="N271" s="44"/>
      <c r="O271" s="48" t="b">
        <f>EXACT(Tabla2[[#This Row],[Fecha de Recibido]],Tabla2[[#This Row],[Fecha MAX de Resp]])</f>
        <v>0</v>
      </c>
      <c r="P271" s="48" t="b">
        <f>EXACT(Tabla2[[#This Row],[Fecha de Recibido]],Tabla2[[#This Row],[Fecha de Resp]])</f>
        <v>0</v>
      </c>
      <c r="Q271" s="45">
        <f>DATE(YEAR(Tabla2[[#This Row],[Fecha de Recibido]]),MONTH(Tabla2[[#This Row],[Fecha de Recibido]]),1)</f>
        <v>45078</v>
      </c>
      <c r="R271" s="45" t="s">
        <v>63</v>
      </c>
    </row>
    <row r="272" spans="1:18" s="42" customFormat="1" ht="37.5" customHeight="1">
      <c r="A272" s="63">
        <v>45092</v>
      </c>
      <c r="B272" s="42" t="s">
        <v>17</v>
      </c>
      <c r="C272" s="42" t="s">
        <v>668</v>
      </c>
      <c r="D272" s="41">
        <v>45098</v>
      </c>
      <c r="E272" s="41">
        <v>45098</v>
      </c>
      <c r="F272" s="42" t="s">
        <v>669</v>
      </c>
      <c r="G272" s="43" t="s">
        <v>670</v>
      </c>
      <c r="H272" s="43"/>
      <c r="I272" s="43"/>
      <c r="J272" s="43" t="s">
        <v>3</v>
      </c>
      <c r="K272" s="43" t="s">
        <v>25</v>
      </c>
      <c r="L272" s="44" t="str">
        <f>IF(Tabla2[[#This Row],[Fecha de Resp]]&gt;Tabla2[[#This Row],[Fecha MAX de Resp]],"Retrasado",IF(Tabla2[[#This Row],[Fecha de Resp]]=0,"Pendiente",IF(Tabla2[[#This Row],[Fecha de Resp]]&lt;=Tabla2[[#This Row],[Fecha MAX de Resp]],"A Tiempo",0)))</f>
        <v>A Tiempo</v>
      </c>
      <c r="M272" s="45">
        <v>45092</v>
      </c>
      <c r="N272" s="44"/>
      <c r="O272" s="48" t="b">
        <f>EXACT(Tabla2[[#This Row],[Fecha de Recibido]],Tabla2[[#This Row],[Fecha MAX de Resp]])</f>
        <v>0</v>
      </c>
      <c r="P272" s="48" t="b">
        <f>EXACT(Tabla2[[#This Row],[Fecha de Recibido]],Tabla2[[#This Row],[Fecha de Resp]])</f>
        <v>0</v>
      </c>
      <c r="Q272" s="45">
        <f>DATE(YEAR(Tabla2[[#This Row],[Fecha de Recibido]]),MONTH(Tabla2[[#This Row],[Fecha de Recibido]]),1)</f>
        <v>45078</v>
      </c>
      <c r="R272" s="45" t="s">
        <v>63</v>
      </c>
    </row>
    <row r="273" spans="1:18" s="42" customFormat="1" ht="37.5" customHeight="1">
      <c r="A273" s="63">
        <v>45085</v>
      </c>
      <c r="B273" s="42" t="s">
        <v>32</v>
      </c>
      <c r="C273" s="42" t="s">
        <v>671</v>
      </c>
      <c r="D273" s="41">
        <v>45100</v>
      </c>
      <c r="E273" s="41">
        <v>45100</v>
      </c>
      <c r="F273" s="42" t="s">
        <v>672</v>
      </c>
      <c r="G273" s="43" t="s">
        <v>673</v>
      </c>
      <c r="H273" s="43"/>
      <c r="I273" s="43" t="s">
        <v>674</v>
      </c>
      <c r="J273" s="43" t="s">
        <v>3</v>
      </c>
      <c r="K273" s="43" t="s">
        <v>352</v>
      </c>
      <c r="L273" s="44" t="str">
        <f>IF(Tabla2[[#This Row],[Fecha de Resp]]&gt;Tabla2[[#This Row],[Fecha MAX de Resp]],"Retrasado",IF(Tabla2[[#This Row],[Fecha de Resp]]=0,"Pendiente",IF(Tabla2[[#This Row],[Fecha de Resp]]&lt;=Tabla2[[#This Row],[Fecha MAX de Resp]],"A Tiempo",0)))</f>
        <v>A Tiempo</v>
      </c>
      <c r="M273" s="43"/>
      <c r="N273" s="44"/>
      <c r="O273" s="48" t="b">
        <f>EXACT(Tabla2[[#This Row],[Fecha de Recibido]],Tabla2[[#This Row],[Fecha MAX de Resp]])</f>
        <v>0</v>
      </c>
      <c r="P273" s="48" t="b">
        <f>EXACT(Tabla2[[#This Row],[Fecha de Recibido]],Tabla2[[#This Row],[Fecha de Resp]])</f>
        <v>0</v>
      </c>
      <c r="Q273" s="45">
        <f>DATE(YEAR(Tabla2[[#This Row],[Fecha de Recibido]]),MONTH(Tabla2[[#This Row],[Fecha de Recibido]]),1)</f>
        <v>45078</v>
      </c>
      <c r="R273" s="45" t="s">
        <v>63</v>
      </c>
    </row>
    <row r="274" spans="1:18" s="42" customFormat="1" ht="37.5" customHeight="1">
      <c r="A274" s="63">
        <v>45082</v>
      </c>
      <c r="B274" s="42" t="s">
        <v>17</v>
      </c>
      <c r="C274" s="42" t="s">
        <v>675</v>
      </c>
      <c r="D274" s="41">
        <v>45097</v>
      </c>
      <c r="E274" s="41">
        <v>45097</v>
      </c>
      <c r="F274" s="42" t="s">
        <v>676</v>
      </c>
      <c r="G274" s="43" t="s">
        <v>677</v>
      </c>
      <c r="H274" s="43" t="s">
        <v>678</v>
      </c>
      <c r="I274" s="43" t="s">
        <v>679</v>
      </c>
      <c r="J274" s="43" t="s">
        <v>3</v>
      </c>
      <c r="K274" s="43" t="s">
        <v>4</v>
      </c>
      <c r="L274" s="44" t="str">
        <f>IF(Tabla2[[#This Row],[Fecha de Resp]]&gt;Tabla2[[#This Row],[Fecha MAX de Resp]],"Retrasado",IF(Tabla2[[#This Row],[Fecha de Resp]]=0,"Pendiente",IF(Tabla2[[#This Row],[Fecha de Resp]]&lt;=Tabla2[[#This Row],[Fecha MAX de Resp]],"A Tiempo",0)))</f>
        <v>A Tiempo</v>
      </c>
      <c r="M274" s="45">
        <v>45054</v>
      </c>
      <c r="N274" s="44"/>
      <c r="O274" s="48" t="b">
        <f>EXACT(Tabla2[[#This Row],[Fecha de Recibido]],Tabla2[[#This Row],[Fecha MAX de Resp]])</f>
        <v>0</v>
      </c>
      <c r="P274" s="48" t="b">
        <f>EXACT(Tabla2[[#This Row],[Fecha de Recibido]],Tabla2[[#This Row],[Fecha de Resp]])</f>
        <v>0</v>
      </c>
      <c r="Q274" s="45">
        <f>DATE(YEAR(Tabla2[[#This Row],[Fecha de Recibido]]),MONTH(Tabla2[[#This Row],[Fecha de Recibido]]),1)</f>
        <v>45078</v>
      </c>
      <c r="R274" s="45" t="s">
        <v>63</v>
      </c>
    </row>
    <row r="275" spans="1:18" s="42" customFormat="1" ht="37.5" customHeight="1">
      <c r="A275" s="63">
        <v>45082</v>
      </c>
      <c r="B275" s="42" t="s">
        <v>17</v>
      </c>
      <c r="C275" s="42" t="s">
        <v>680</v>
      </c>
      <c r="D275" s="41">
        <v>45083</v>
      </c>
      <c r="E275" s="41">
        <v>45083</v>
      </c>
      <c r="F275" s="42" t="s">
        <v>681</v>
      </c>
      <c r="G275" s="43" t="s">
        <v>682</v>
      </c>
      <c r="H275" s="43" t="s">
        <v>683</v>
      </c>
      <c r="I275" s="43"/>
      <c r="J275" s="43" t="s">
        <v>8</v>
      </c>
      <c r="K275" s="43" t="s">
        <v>4</v>
      </c>
      <c r="L275" s="44" t="str">
        <f>IF(Tabla2[[#This Row],[Fecha de Resp]]&gt;Tabla2[[#This Row],[Fecha MAX de Resp]],"Retrasado",IF(Tabla2[[#This Row],[Fecha de Resp]]=0,"Pendiente",IF(Tabla2[[#This Row],[Fecha de Resp]]&lt;=Tabla2[[#This Row],[Fecha MAX de Resp]],"A Tiempo",0)))</f>
        <v>A Tiempo</v>
      </c>
      <c r="M275" s="45">
        <v>45082</v>
      </c>
      <c r="N275" s="44"/>
      <c r="O275" s="48" t="b">
        <f>EXACT(Tabla2[[#This Row],[Fecha de Recibido]],Tabla2[[#This Row],[Fecha MAX de Resp]])</f>
        <v>0</v>
      </c>
      <c r="P275" s="48" t="b">
        <f>EXACT(Tabla2[[#This Row],[Fecha de Recibido]],Tabla2[[#This Row],[Fecha de Resp]])</f>
        <v>0</v>
      </c>
      <c r="Q275" s="45">
        <f>DATE(YEAR(Tabla2[[#This Row],[Fecha de Recibido]]),MONTH(Tabla2[[#This Row],[Fecha de Recibido]]),1)</f>
        <v>45078</v>
      </c>
      <c r="R275" s="45" t="s">
        <v>63</v>
      </c>
    </row>
    <row r="276" spans="1:18" s="42" customFormat="1" ht="37.5" customHeight="1">
      <c r="A276" s="63">
        <v>45082</v>
      </c>
      <c r="B276" s="42" t="s">
        <v>32</v>
      </c>
      <c r="C276" s="42" t="s">
        <v>684</v>
      </c>
      <c r="D276" s="41">
        <v>45082</v>
      </c>
      <c r="E276" s="41">
        <v>45082</v>
      </c>
      <c r="F276" s="42" t="s">
        <v>685</v>
      </c>
      <c r="G276" s="50" t="s">
        <v>686</v>
      </c>
      <c r="H276" s="50"/>
      <c r="I276" s="50" t="s">
        <v>687</v>
      </c>
      <c r="J276" s="50" t="s">
        <v>3</v>
      </c>
      <c r="K276" s="50" t="s">
        <v>4</v>
      </c>
      <c r="L276" s="44" t="str">
        <f>IF(Tabla2[[#This Row],[Fecha de Resp]]&gt;Tabla2[[#This Row],[Fecha MAX de Resp]],"Retrasado",IF(Tabla2[[#This Row],[Fecha de Resp]]=0,"Pendiente",IF(Tabla2[[#This Row],[Fecha de Resp]]&lt;=Tabla2[[#This Row],[Fecha MAX de Resp]],"A Tiempo",0)))</f>
        <v>A Tiempo</v>
      </c>
      <c r="M276" s="50"/>
      <c r="N276" s="52" t="s">
        <v>688</v>
      </c>
      <c r="O276" s="48" t="b">
        <f>EXACT(Tabla2[[#This Row],[Fecha de Recibido]],Tabla2[[#This Row],[Fecha MAX de Resp]])</f>
        <v>1</v>
      </c>
      <c r="P276" s="48" t="b">
        <f>EXACT(Tabla2[[#This Row],[Fecha de Recibido]],Tabla2[[#This Row],[Fecha de Resp]])</f>
        <v>1</v>
      </c>
      <c r="Q276" s="51">
        <f>DATE(YEAR(Tabla2[[#This Row],[Fecha de Recibido]]),MONTH(Tabla2[[#This Row],[Fecha de Recibido]]),1)</f>
        <v>45078</v>
      </c>
      <c r="R276" s="45" t="s">
        <v>63</v>
      </c>
    </row>
    <row r="277" spans="1:18" s="42" customFormat="1" ht="37.5" customHeight="1">
      <c r="A277" s="63">
        <v>45082</v>
      </c>
      <c r="B277" s="42" t="s">
        <v>17</v>
      </c>
      <c r="C277" s="42" t="s">
        <v>689</v>
      </c>
      <c r="D277" s="41">
        <v>45084</v>
      </c>
      <c r="E277" s="41">
        <v>45084</v>
      </c>
      <c r="F277" s="42" t="s">
        <v>690</v>
      </c>
      <c r="G277" s="43" t="s">
        <v>691</v>
      </c>
      <c r="H277" s="43"/>
      <c r="I277" s="43"/>
      <c r="J277" s="43" t="s">
        <v>3</v>
      </c>
      <c r="K277" s="43" t="s">
        <v>4</v>
      </c>
      <c r="L277" s="44" t="str">
        <f>IF(Tabla2[[#This Row],[Fecha de Resp]]&gt;Tabla2[[#This Row],[Fecha MAX de Resp]],"Retrasado",IF(Tabla2[[#This Row],[Fecha de Resp]]=0,"Pendiente",IF(Tabla2[[#This Row],[Fecha de Resp]]&lt;=Tabla2[[#This Row],[Fecha MAX de Resp]],"A Tiempo",0)))</f>
        <v>A Tiempo</v>
      </c>
      <c r="M277" s="43" t="s">
        <v>692</v>
      </c>
      <c r="N277" s="44"/>
      <c r="O277" s="48" t="b">
        <f>EXACT(Tabla2[[#This Row],[Fecha de Recibido]],Tabla2[[#This Row],[Fecha MAX de Resp]])</f>
        <v>0</v>
      </c>
      <c r="P277" s="48" t="b">
        <f>EXACT(Tabla2[[#This Row],[Fecha de Recibido]],Tabla2[[#This Row],[Fecha de Resp]])</f>
        <v>0</v>
      </c>
      <c r="Q277" s="45">
        <f>DATE(YEAR(Tabla2[[#This Row],[Fecha de Recibido]]),MONTH(Tabla2[[#This Row],[Fecha de Recibido]]),1)</f>
        <v>45078</v>
      </c>
      <c r="R277" s="45" t="s">
        <v>63</v>
      </c>
    </row>
    <row r="278" spans="1:18" s="42" customFormat="1" ht="37.5" customHeight="1">
      <c r="A278" s="63">
        <v>45082</v>
      </c>
      <c r="B278" s="42" t="s">
        <v>32</v>
      </c>
      <c r="C278" s="42" t="s">
        <v>693</v>
      </c>
      <c r="D278" s="41">
        <v>45082</v>
      </c>
      <c r="E278" s="41">
        <v>45082</v>
      </c>
      <c r="F278" s="42" t="s">
        <v>694</v>
      </c>
      <c r="G278" s="43" t="s">
        <v>695</v>
      </c>
      <c r="H278" s="43"/>
      <c r="I278" s="43" t="s">
        <v>696</v>
      </c>
      <c r="J278" s="43" t="s">
        <v>3</v>
      </c>
      <c r="K278" s="43" t="s">
        <v>404</v>
      </c>
      <c r="L278" s="44" t="str">
        <f>IF(Tabla2[[#This Row],[Fecha de Resp]]&gt;Tabla2[[#This Row],[Fecha MAX de Resp]],"Retrasado",IF(Tabla2[[#This Row],[Fecha de Resp]]=0,"Pendiente",IF(Tabla2[[#This Row],[Fecha de Resp]]&lt;=Tabla2[[#This Row],[Fecha MAX de Resp]],"A Tiempo",0)))</f>
        <v>A Tiempo</v>
      </c>
      <c r="M278" s="45">
        <v>45082</v>
      </c>
      <c r="N278" s="44"/>
      <c r="O278" s="48" t="b">
        <f>EXACT(Tabla2[[#This Row],[Fecha de Recibido]],Tabla2[[#This Row],[Fecha MAX de Resp]])</f>
        <v>1</v>
      </c>
      <c r="P278" s="48" t="b">
        <f>EXACT(Tabla2[[#This Row],[Fecha de Recibido]],Tabla2[[#This Row],[Fecha de Resp]])</f>
        <v>1</v>
      </c>
      <c r="Q278" s="45">
        <f>DATE(YEAR(Tabla2[[#This Row],[Fecha de Recibido]]),MONTH(Tabla2[[#This Row],[Fecha de Recibido]]),1)</f>
        <v>45078</v>
      </c>
      <c r="R278" s="45" t="s">
        <v>63</v>
      </c>
    </row>
    <row r="279" spans="1:18" s="42" customFormat="1" ht="37.5" customHeight="1">
      <c r="A279" s="63">
        <v>45082</v>
      </c>
      <c r="B279" s="42" t="s">
        <v>32</v>
      </c>
      <c r="C279" s="42" t="s">
        <v>697</v>
      </c>
      <c r="D279" s="41">
        <v>45082</v>
      </c>
      <c r="E279" s="41">
        <v>45082</v>
      </c>
      <c r="F279" s="42" t="s">
        <v>698</v>
      </c>
      <c r="G279" s="43" t="s">
        <v>699</v>
      </c>
      <c r="H279" s="43"/>
      <c r="I279" s="43" t="s">
        <v>700</v>
      </c>
      <c r="J279" s="43" t="s">
        <v>8</v>
      </c>
      <c r="K279" s="43" t="s">
        <v>404</v>
      </c>
      <c r="L279" s="44" t="str">
        <f>IF(Tabla2[[#This Row],[Fecha de Resp]]&gt;Tabla2[[#This Row],[Fecha MAX de Resp]],"Retrasado",IF(Tabla2[[#This Row],[Fecha de Resp]]=0,"Pendiente",IF(Tabla2[[#This Row],[Fecha de Resp]]&lt;=Tabla2[[#This Row],[Fecha MAX de Resp]],"A Tiempo",0)))</f>
        <v>A Tiempo</v>
      </c>
      <c r="M279" s="45">
        <v>45082</v>
      </c>
      <c r="N279" s="44"/>
      <c r="O279" s="48" t="b">
        <f>EXACT(Tabla2[[#This Row],[Fecha de Recibido]],Tabla2[[#This Row],[Fecha MAX de Resp]])</f>
        <v>1</v>
      </c>
      <c r="P279" s="48" t="b">
        <f>EXACT(Tabla2[[#This Row],[Fecha de Recibido]],Tabla2[[#This Row],[Fecha de Resp]])</f>
        <v>1</v>
      </c>
      <c r="Q279" s="45">
        <f>DATE(YEAR(Tabla2[[#This Row],[Fecha de Recibido]]),MONTH(Tabla2[[#This Row],[Fecha de Recibido]]),1)</f>
        <v>45078</v>
      </c>
      <c r="R279" s="45" t="s">
        <v>63</v>
      </c>
    </row>
    <row r="280" spans="1:18" s="42" customFormat="1" ht="37.5" customHeight="1">
      <c r="A280" s="63">
        <v>45077</v>
      </c>
      <c r="B280" s="42" t="s">
        <v>32</v>
      </c>
      <c r="C280" s="42" t="s">
        <v>701</v>
      </c>
      <c r="D280" s="41">
        <v>45084</v>
      </c>
      <c r="E280" s="41">
        <v>45082</v>
      </c>
      <c r="F280" s="42" t="s">
        <v>702</v>
      </c>
      <c r="G280" s="43" t="s">
        <v>703</v>
      </c>
      <c r="H280" s="43" t="s">
        <v>704</v>
      </c>
      <c r="I280" s="43" t="s">
        <v>705</v>
      </c>
      <c r="J280" s="43" t="s">
        <v>11</v>
      </c>
      <c r="K280" s="43" t="s">
        <v>19</v>
      </c>
      <c r="L280" s="44" t="str">
        <f>IF(Tabla2[[#This Row],[Fecha de Resp]]&gt;Tabla2[[#This Row],[Fecha MAX de Resp]],"Retrasado",IF(Tabla2[[#This Row],[Fecha de Resp]]=0,"Pendiente",IF(Tabla2[[#This Row],[Fecha de Resp]]&lt;=Tabla2[[#This Row],[Fecha MAX de Resp]],"A Tiempo",0)))</f>
        <v>A Tiempo</v>
      </c>
      <c r="M280" s="45">
        <v>45084</v>
      </c>
      <c r="N280" s="44"/>
      <c r="O280" s="48" t="b">
        <f>EXACT(Tabla2[[#This Row],[Fecha de Recibido]],Tabla2[[#This Row],[Fecha MAX de Resp]])</f>
        <v>0</v>
      </c>
      <c r="P280" s="48" t="b">
        <f>EXACT(Tabla2[[#This Row],[Fecha de Recibido]],Tabla2[[#This Row],[Fecha de Resp]])</f>
        <v>0</v>
      </c>
      <c r="Q280" s="45">
        <f>DATE(YEAR(Tabla2[[#This Row],[Fecha de Recibido]]),MONTH(Tabla2[[#This Row],[Fecha de Recibido]]),1)</f>
        <v>45047</v>
      </c>
      <c r="R280" s="45" t="s">
        <v>63</v>
      </c>
    </row>
    <row r="281" spans="1:18" s="42" customFormat="1" ht="37.5" customHeight="1">
      <c r="A281" s="63">
        <v>45076</v>
      </c>
      <c r="B281" s="42" t="s">
        <v>32</v>
      </c>
      <c r="C281" s="42" t="s">
        <v>706</v>
      </c>
      <c r="D281" s="41">
        <v>45090</v>
      </c>
      <c r="E281" s="41">
        <v>45090</v>
      </c>
      <c r="F281" s="42" t="s">
        <v>707</v>
      </c>
      <c r="G281" s="50" t="s">
        <v>708</v>
      </c>
      <c r="H281" s="50"/>
      <c r="I281" s="50" t="s">
        <v>709</v>
      </c>
      <c r="J281" s="50" t="s">
        <v>3</v>
      </c>
      <c r="K281" s="50" t="s">
        <v>9</v>
      </c>
      <c r="L281" s="44" t="str">
        <f>IF(Tabla2[[#This Row],[Fecha de Resp]]&gt;Tabla2[[#This Row],[Fecha MAX de Resp]],"Retrasado",IF(Tabla2[[#This Row],[Fecha de Resp]]=0,"Pendiente",IF(Tabla2[[#This Row],[Fecha de Resp]]&lt;=Tabla2[[#This Row],[Fecha MAX de Resp]],"A Tiempo",0)))</f>
        <v>A Tiempo</v>
      </c>
      <c r="M281" s="51">
        <v>45071</v>
      </c>
      <c r="N281" s="52"/>
      <c r="O281" s="48" t="b">
        <f>EXACT(Tabla2[[#This Row],[Fecha de Recibido]],Tabla2[[#This Row],[Fecha MAX de Resp]])</f>
        <v>0</v>
      </c>
      <c r="P281" s="48" t="b">
        <f>EXACT(Tabla2[[#This Row],[Fecha de Recibido]],Tabla2[[#This Row],[Fecha de Resp]])</f>
        <v>0</v>
      </c>
      <c r="Q281" s="51">
        <f>DATE(YEAR(Tabla2[[#This Row],[Fecha de Recibido]]),MONTH(Tabla2[[#This Row],[Fecha de Recibido]]),1)</f>
        <v>45047</v>
      </c>
      <c r="R281" s="45" t="s">
        <v>63</v>
      </c>
    </row>
    <row r="282" spans="1:18" s="42" customFormat="1" ht="37.5" customHeight="1">
      <c r="A282" s="63">
        <v>45074</v>
      </c>
      <c r="B282" s="42" t="s">
        <v>30</v>
      </c>
      <c r="C282" s="42" t="s">
        <v>710</v>
      </c>
      <c r="D282" s="41">
        <v>45074</v>
      </c>
      <c r="E282" s="41">
        <v>45074</v>
      </c>
      <c r="F282" s="42" t="s">
        <v>711</v>
      </c>
      <c r="G282" s="43" t="s">
        <v>712</v>
      </c>
      <c r="H282" s="43" t="s">
        <v>713</v>
      </c>
      <c r="I282" s="43" t="s">
        <v>714</v>
      </c>
      <c r="J282" s="43" t="s">
        <v>3</v>
      </c>
      <c r="K282" s="43" t="s">
        <v>27</v>
      </c>
      <c r="L282" s="44" t="str">
        <f>IF(Tabla2[[#This Row],[Fecha de Resp]]&gt;Tabla2[[#This Row],[Fecha MAX de Resp]],"Retrasado",IF(Tabla2[[#This Row],[Fecha de Resp]]=0,"Pendiente",IF(Tabla2[[#This Row],[Fecha de Resp]]&lt;=Tabla2[[#This Row],[Fecha MAX de Resp]],"A Tiempo",0)))</f>
        <v>A Tiempo</v>
      </c>
      <c r="M282" s="45">
        <v>45075</v>
      </c>
      <c r="N282" s="44"/>
      <c r="O282" s="48" t="b">
        <f>EXACT(Tabla2[[#This Row],[Fecha de Recibido]],Tabla2[[#This Row],[Fecha MAX de Resp]])</f>
        <v>1</v>
      </c>
      <c r="P282" s="48" t="b">
        <f>EXACT(Tabla2[[#This Row],[Fecha de Recibido]],Tabla2[[#This Row],[Fecha de Resp]])</f>
        <v>1</v>
      </c>
      <c r="Q282" s="45">
        <f>DATE(YEAR(Tabla2[[#This Row],[Fecha de Recibido]]),MONTH(Tabla2[[#This Row],[Fecha de Recibido]]),1)</f>
        <v>45047</v>
      </c>
      <c r="R282" s="45" t="s">
        <v>63</v>
      </c>
    </row>
    <row r="283" spans="1:18" s="42" customFormat="1" ht="50.25" customHeight="1">
      <c r="A283" s="63">
        <v>45070</v>
      </c>
      <c r="B283" s="42" t="s">
        <v>26</v>
      </c>
      <c r="C283" s="42" t="s">
        <v>715</v>
      </c>
      <c r="D283" s="41">
        <v>45082</v>
      </c>
      <c r="E283" s="41">
        <v>45082</v>
      </c>
      <c r="F283" s="42" t="s">
        <v>716</v>
      </c>
      <c r="G283" s="43" t="s">
        <v>717</v>
      </c>
      <c r="H283" s="43" t="s">
        <v>718</v>
      </c>
      <c r="I283" s="43"/>
      <c r="J283" s="43" t="s">
        <v>3</v>
      </c>
      <c r="K283" s="43" t="s">
        <v>4</v>
      </c>
      <c r="L283" s="44" t="str">
        <f>IF(Tabla2[[#This Row],[Fecha de Resp]]&gt;Tabla2[[#This Row],[Fecha MAX de Resp]],"Retrasado",IF(Tabla2[[#This Row],[Fecha de Resp]]=0,"Pendiente",IF(Tabla2[[#This Row],[Fecha de Resp]]&lt;=Tabla2[[#This Row],[Fecha MAX de Resp]],"A Tiempo",0)))</f>
        <v>A Tiempo</v>
      </c>
      <c r="M283" s="45">
        <v>45070</v>
      </c>
      <c r="N283" s="44"/>
      <c r="O283" s="48" t="b">
        <f>EXACT(Tabla2[[#This Row],[Fecha de Recibido]],Tabla2[[#This Row],[Fecha MAX de Resp]])</f>
        <v>0</v>
      </c>
      <c r="P283" s="48" t="b">
        <f>EXACT(Tabla2[[#This Row],[Fecha de Recibido]],Tabla2[[#This Row],[Fecha de Resp]])</f>
        <v>0</v>
      </c>
      <c r="Q283" s="45">
        <f>DATE(YEAR(Tabla2[[#This Row],[Fecha de Recibido]]),MONTH(Tabla2[[#This Row],[Fecha de Recibido]]),1)</f>
        <v>45047</v>
      </c>
      <c r="R283" s="45" t="s">
        <v>63</v>
      </c>
    </row>
    <row r="284" spans="1:18" s="42" customFormat="1" ht="37.5" customHeight="1">
      <c r="A284" s="63">
        <v>45063</v>
      </c>
      <c r="B284" s="42" t="s">
        <v>17</v>
      </c>
      <c r="C284" s="42" t="s">
        <v>719</v>
      </c>
      <c r="D284" s="41">
        <v>45077</v>
      </c>
      <c r="E284" s="41">
        <v>45075</v>
      </c>
      <c r="F284" s="42" t="s">
        <v>720</v>
      </c>
      <c r="G284" s="43" t="s">
        <v>721</v>
      </c>
      <c r="H284" s="43" t="s">
        <v>722</v>
      </c>
      <c r="I284" s="43" t="s">
        <v>723</v>
      </c>
      <c r="J284" s="43" t="s">
        <v>11</v>
      </c>
      <c r="K284" s="43" t="s">
        <v>4</v>
      </c>
      <c r="L284" s="44" t="str">
        <f>IF(Tabla2[[#This Row],[Fecha de Resp]]&gt;Tabla2[[#This Row],[Fecha MAX de Resp]],"Retrasado",IF(Tabla2[[#This Row],[Fecha de Resp]]=0,"Pendiente",IF(Tabla2[[#This Row],[Fecha de Resp]]&lt;=Tabla2[[#This Row],[Fecha MAX de Resp]],"A Tiempo",0)))</f>
        <v>A Tiempo</v>
      </c>
      <c r="M284" s="45">
        <v>45063</v>
      </c>
      <c r="N284" s="44"/>
      <c r="O284" s="48" t="b">
        <f>EXACT(Tabla2[[#This Row],[Fecha de Recibido]],Tabla2[[#This Row],[Fecha MAX de Resp]])</f>
        <v>0</v>
      </c>
      <c r="P284" s="48" t="b">
        <f>EXACT(Tabla2[[#This Row],[Fecha de Recibido]],Tabla2[[#This Row],[Fecha de Resp]])</f>
        <v>0</v>
      </c>
      <c r="Q284" s="45">
        <f>DATE(YEAR(Tabla2[[#This Row],[Fecha de Recibido]]),MONTH(Tabla2[[#This Row],[Fecha de Recibido]]),1)</f>
        <v>45047</v>
      </c>
      <c r="R284" s="45" t="s">
        <v>63</v>
      </c>
    </row>
    <row r="285" spans="1:18" s="42" customFormat="1" ht="37.5" customHeight="1">
      <c r="A285" s="63">
        <v>45062</v>
      </c>
      <c r="B285" s="42" t="s">
        <v>17</v>
      </c>
      <c r="C285" s="42" t="s">
        <v>724</v>
      </c>
      <c r="D285" s="41">
        <v>45075</v>
      </c>
      <c r="E285" s="41">
        <v>45075</v>
      </c>
      <c r="F285" s="42" t="s">
        <v>725</v>
      </c>
      <c r="G285" s="43" t="s">
        <v>726</v>
      </c>
      <c r="H285" s="43" t="s">
        <v>727</v>
      </c>
      <c r="I285" s="43" t="s">
        <v>728</v>
      </c>
      <c r="J285" s="43" t="s">
        <v>3</v>
      </c>
      <c r="K285" s="43" t="s">
        <v>4</v>
      </c>
      <c r="L285" s="44" t="str">
        <f>IF(Tabla2[[#This Row],[Fecha de Resp]]&gt;Tabla2[[#This Row],[Fecha MAX de Resp]],"Retrasado",IF(Tabla2[[#This Row],[Fecha de Resp]]=0,"Pendiente",IF(Tabla2[[#This Row],[Fecha de Resp]]&lt;=Tabla2[[#This Row],[Fecha MAX de Resp]],"A Tiempo",0)))</f>
        <v>A Tiempo</v>
      </c>
      <c r="M285" s="45">
        <v>45061</v>
      </c>
      <c r="N285" s="44"/>
      <c r="O285" s="48" t="b">
        <f>EXACT(Tabla2[[#This Row],[Fecha de Recibido]],Tabla2[[#This Row],[Fecha MAX de Resp]])</f>
        <v>0</v>
      </c>
      <c r="P285" s="48" t="b">
        <f>EXACT(Tabla2[[#This Row],[Fecha de Recibido]],Tabla2[[#This Row],[Fecha de Resp]])</f>
        <v>0</v>
      </c>
      <c r="Q285" s="45">
        <f>DATE(YEAR(Tabla2[[#This Row],[Fecha de Recibido]]),MONTH(Tabla2[[#This Row],[Fecha de Recibido]]),1)</f>
        <v>45047</v>
      </c>
      <c r="R285" s="45" t="s">
        <v>63</v>
      </c>
    </row>
    <row r="286" spans="1:18" s="42" customFormat="1" ht="37.5" customHeight="1">
      <c r="A286" s="63">
        <v>45062</v>
      </c>
      <c r="B286" s="42" t="s">
        <v>17</v>
      </c>
      <c r="C286" s="42" t="s">
        <v>729</v>
      </c>
      <c r="D286" s="41">
        <v>45075</v>
      </c>
      <c r="E286" s="41">
        <v>45075</v>
      </c>
      <c r="F286" s="42" t="s">
        <v>730</v>
      </c>
      <c r="G286" s="43" t="s">
        <v>731</v>
      </c>
      <c r="H286" s="43" t="s">
        <v>732</v>
      </c>
      <c r="I286" s="43" t="s">
        <v>733</v>
      </c>
      <c r="J286" s="43" t="s">
        <v>3</v>
      </c>
      <c r="K286" s="43" t="s">
        <v>4</v>
      </c>
      <c r="L286" s="44" t="str">
        <f>IF(Tabla2[[#This Row],[Fecha de Resp]]&gt;Tabla2[[#This Row],[Fecha MAX de Resp]],"Retrasado",IF(Tabla2[[#This Row],[Fecha de Resp]]=0,"Pendiente",IF(Tabla2[[#This Row],[Fecha de Resp]]&lt;=Tabla2[[#This Row],[Fecha MAX de Resp]],"A Tiempo",0)))</f>
        <v>A Tiempo</v>
      </c>
      <c r="M286" s="45">
        <v>45062</v>
      </c>
      <c r="N286" s="44"/>
      <c r="O286" s="48" t="b">
        <f>EXACT(Tabla2[[#This Row],[Fecha de Recibido]],Tabla2[[#This Row],[Fecha MAX de Resp]])</f>
        <v>0</v>
      </c>
      <c r="P286" s="48" t="b">
        <f>EXACT(Tabla2[[#This Row],[Fecha de Recibido]],Tabla2[[#This Row],[Fecha de Resp]])</f>
        <v>0</v>
      </c>
      <c r="Q286" s="45">
        <f>DATE(YEAR(Tabla2[[#This Row],[Fecha de Recibido]]),MONTH(Tabla2[[#This Row],[Fecha de Recibido]]),1)</f>
        <v>45047</v>
      </c>
      <c r="R286" s="45" t="s">
        <v>63</v>
      </c>
    </row>
    <row r="287" spans="1:18" s="42" customFormat="1" ht="37.5" customHeight="1">
      <c r="A287" s="63">
        <v>45062</v>
      </c>
      <c r="B287" s="42" t="s">
        <v>17</v>
      </c>
      <c r="C287" s="42" t="s">
        <v>734</v>
      </c>
      <c r="D287" s="41">
        <v>45071</v>
      </c>
      <c r="E287" s="41">
        <v>45071</v>
      </c>
      <c r="F287" s="42" t="s">
        <v>735</v>
      </c>
      <c r="G287" s="43" t="s">
        <v>736</v>
      </c>
      <c r="H287" s="43" t="s">
        <v>737</v>
      </c>
      <c r="I287" s="43" t="s">
        <v>738</v>
      </c>
      <c r="J287" s="43" t="s">
        <v>3</v>
      </c>
      <c r="K287" s="43" t="s">
        <v>4</v>
      </c>
      <c r="L287" s="44" t="str">
        <f>IF(Tabla2[[#This Row],[Fecha de Resp]]&gt;Tabla2[[#This Row],[Fecha MAX de Resp]],"Retrasado",IF(Tabla2[[#This Row],[Fecha de Resp]]=0,"Pendiente",IF(Tabla2[[#This Row],[Fecha de Resp]]&lt;=Tabla2[[#This Row],[Fecha MAX de Resp]],"A Tiempo",0)))</f>
        <v>A Tiempo</v>
      </c>
      <c r="M287" s="45">
        <v>45062</v>
      </c>
      <c r="N287" s="44"/>
      <c r="O287" s="48" t="b">
        <f>EXACT(Tabla2[[#This Row],[Fecha de Recibido]],Tabla2[[#This Row],[Fecha MAX de Resp]])</f>
        <v>0</v>
      </c>
      <c r="P287" s="48" t="b">
        <f>EXACT(Tabla2[[#This Row],[Fecha de Recibido]],Tabla2[[#This Row],[Fecha de Resp]])</f>
        <v>0</v>
      </c>
      <c r="Q287" s="45">
        <f>DATE(YEAR(Tabla2[[#This Row],[Fecha de Recibido]]),MONTH(Tabla2[[#This Row],[Fecha de Recibido]]),1)</f>
        <v>45047</v>
      </c>
      <c r="R287" s="45" t="s">
        <v>63</v>
      </c>
    </row>
    <row r="288" spans="1:18" s="42" customFormat="1" ht="37.5" customHeight="1">
      <c r="A288" s="63">
        <v>45061</v>
      </c>
      <c r="B288" s="42" t="s">
        <v>30</v>
      </c>
      <c r="C288" s="42" t="s">
        <v>739</v>
      </c>
      <c r="D288" s="41">
        <v>45061</v>
      </c>
      <c r="E288" s="41">
        <v>45061</v>
      </c>
      <c r="F288" s="42" t="s">
        <v>740</v>
      </c>
      <c r="G288" s="43" t="s">
        <v>741</v>
      </c>
      <c r="H288" s="43"/>
      <c r="I288" s="43" t="s">
        <v>742</v>
      </c>
      <c r="J288" s="43" t="s">
        <v>3</v>
      </c>
      <c r="K288" s="43" t="s">
        <v>27</v>
      </c>
      <c r="L288" s="44" t="str">
        <f>IF(Tabla2[[#This Row],[Fecha de Resp]]&gt;Tabla2[[#This Row],[Fecha MAX de Resp]],"Retrasado",IF(Tabla2[[#This Row],[Fecha de Resp]]=0,"Pendiente",IF(Tabla2[[#This Row],[Fecha de Resp]]&lt;=Tabla2[[#This Row],[Fecha MAX de Resp]],"A Tiempo",0)))</f>
        <v>A Tiempo</v>
      </c>
      <c r="M288" s="45">
        <v>45061</v>
      </c>
      <c r="N288" s="44"/>
      <c r="O288" s="48" t="b">
        <f>EXACT(Tabla2[[#This Row],[Fecha de Recibido]],Tabla2[[#This Row],[Fecha MAX de Resp]])</f>
        <v>1</v>
      </c>
      <c r="P288" s="48" t="b">
        <f>EXACT(Tabla2[[#This Row],[Fecha de Recibido]],Tabla2[[#This Row],[Fecha de Resp]])</f>
        <v>1</v>
      </c>
      <c r="Q288" s="45">
        <f>DATE(YEAR(Tabla2[[#This Row],[Fecha de Recibido]]),MONTH(Tabla2[[#This Row],[Fecha de Recibido]]),1)</f>
        <v>45047</v>
      </c>
      <c r="R288" s="45" t="s">
        <v>63</v>
      </c>
    </row>
    <row r="289" spans="1:18" s="42" customFormat="1" ht="37.5" customHeight="1">
      <c r="A289" s="63">
        <v>45061</v>
      </c>
      <c r="B289" s="42" t="s">
        <v>743</v>
      </c>
      <c r="C289" s="42" t="s">
        <v>744</v>
      </c>
      <c r="D289" s="41">
        <v>45076</v>
      </c>
      <c r="E289" s="41">
        <v>45076</v>
      </c>
      <c r="F289" s="42" t="s">
        <v>745</v>
      </c>
      <c r="G289" s="43" t="s">
        <v>746</v>
      </c>
      <c r="H289" s="43"/>
      <c r="I289" s="43" t="s">
        <v>747</v>
      </c>
      <c r="J289" s="43" t="s">
        <v>3</v>
      </c>
      <c r="K289" s="43" t="s">
        <v>534</v>
      </c>
      <c r="L289" s="44" t="str">
        <f>IF(Tabla2[[#This Row],[Fecha de Resp]]&gt;Tabla2[[#This Row],[Fecha MAX de Resp]],"Retrasado",IF(Tabla2[[#This Row],[Fecha de Resp]]=0,"Pendiente",IF(Tabla2[[#This Row],[Fecha de Resp]]&lt;=Tabla2[[#This Row],[Fecha MAX de Resp]],"A Tiempo",0)))</f>
        <v>A Tiempo</v>
      </c>
      <c r="M289" s="45">
        <v>45061</v>
      </c>
      <c r="N289" s="44"/>
      <c r="O289" s="48" t="b">
        <f>EXACT(Tabla2[[#This Row],[Fecha de Recibido]],Tabla2[[#This Row],[Fecha MAX de Resp]])</f>
        <v>0</v>
      </c>
      <c r="P289" s="48" t="b">
        <f>EXACT(Tabla2[[#This Row],[Fecha de Recibido]],Tabla2[[#This Row],[Fecha de Resp]])</f>
        <v>0</v>
      </c>
      <c r="Q289" s="45">
        <f>DATE(YEAR(Tabla2[[#This Row],[Fecha de Recibido]]),MONTH(Tabla2[[#This Row],[Fecha de Recibido]]),1)</f>
        <v>45047</v>
      </c>
      <c r="R289" s="45" t="s">
        <v>63</v>
      </c>
    </row>
    <row r="290" spans="1:18" s="42" customFormat="1" ht="37.5" customHeight="1">
      <c r="A290" s="63">
        <v>45061</v>
      </c>
      <c r="B290" s="42" t="s">
        <v>41</v>
      </c>
      <c r="C290" s="42" t="s">
        <v>748</v>
      </c>
      <c r="D290" s="41">
        <v>45077</v>
      </c>
      <c r="E290" s="41">
        <v>45077</v>
      </c>
      <c r="F290" s="42" t="s">
        <v>749</v>
      </c>
      <c r="G290" s="43" t="s">
        <v>750</v>
      </c>
      <c r="H290" s="43" t="s">
        <v>751</v>
      </c>
      <c r="I290" s="43" t="s">
        <v>752</v>
      </c>
      <c r="J290" s="43" t="s">
        <v>3</v>
      </c>
      <c r="K290" s="43" t="s">
        <v>9</v>
      </c>
      <c r="L290" s="44" t="str">
        <f>IF(Tabla2[[#This Row],[Fecha de Resp]]&gt;Tabla2[[#This Row],[Fecha MAX de Resp]],"Retrasado",IF(Tabla2[[#This Row],[Fecha de Resp]]=0,"Pendiente",IF(Tabla2[[#This Row],[Fecha de Resp]]&lt;=Tabla2[[#This Row],[Fecha MAX de Resp]],"A Tiempo",0)))</f>
        <v>A Tiempo</v>
      </c>
      <c r="M290" s="45">
        <v>45061</v>
      </c>
      <c r="N290" s="44"/>
      <c r="O290" s="48" t="b">
        <f>EXACT(Tabla2[[#This Row],[Fecha de Recibido]],Tabla2[[#This Row],[Fecha MAX de Resp]])</f>
        <v>0</v>
      </c>
      <c r="P290" s="48" t="b">
        <f>EXACT(Tabla2[[#This Row],[Fecha de Recibido]],Tabla2[[#This Row],[Fecha de Resp]])</f>
        <v>0</v>
      </c>
      <c r="Q290" s="45">
        <f>DATE(YEAR(Tabla2[[#This Row],[Fecha de Recibido]]),MONTH(Tabla2[[#This Row],[Fecha de Recibido]]),1)</f>
        <v>45047</v>
      </c>
      <c r="R290" s="45" t="s">
        <v>63</v>
      </c>
    </row>
    <row r="291" spans="1:18" s="42" customFormat="1" ht="37.5" customHeight="1">
      <c r="A291" s="63">
        <v>45058</v>
      </c>
      <c r="B291" s="42" t="s">
        <v>40</v>
      </c>
      <c r="C291" s="42" t="s">
        <v>753</v>
      </c>
      <c r="D291" s="41">
        <v>45058</v>
      </c>
      <c r="E291" s="41">
        <v>45058</v>
      </c>
      <c r="F291" s="42" t="s">
        <v>754</v>
      </c>
      <c r="G291" s="43" t="s">
        <v>755</v>
      </c>
      <c r="H291" s="43"/>
      <c r="I291" s="43"/>
      <c r="J291" s="43" t="s">
        <v>11</v>
      </c>
      <c r="K291" s="43" t="s">
        <v>12</v>
      </c>
      <c r="L291" s="44" t="str">
        <f>IF(Tabla2[[#This Row],[Fecha de Resp]]&gt;Tabla2[[#This Row],[Fecha MAX de Resp]],"Retrasado",IF(Tabla2[[#This Row],[Fecha de Resp]]=0,"Pendiente",IF(Tabla2[[#This Row],[Fecha de Resp]]&lt;=Tabla2[[#This Row],[Fecha MAX de Resp]],"A Tiempo",0)))</f>
        <v>A Tiempo</v>
      </c>
      <c r="M291" s="45">
        <v>45058</v>
      </c>
      <c r="N291" s="44"/>
      <c r="O291" s="48" t="b">
        <f>EXACT(Tabla2[[#This Row],[Fecha de Recibido]],Tabla2[[#This Row],[Fecha MAX de Resp]])</f>
        <v>1</v>
      </c>
      <c r="P291" s="48" t="b">
        <f>EXACT(Tabla2[[#This Row],[Fecha de Recibido]],Tabla2[[#This Row],[Fecha de Resp]])</f>
        <v>1</v>
      </c>
      <c r="Q291" s="45">
        <f>DATE(YEAR(Tabla2[[#This Row],[Fecha de Recibido]]),MONTH(Tabla2[[#This Row],[Fecha de Recibido]]),1)</f>
        <v>45047</v>
      </c>
      <c r="R291" s="45" t="s">
        <v>63</v>
      </c>
    </row>
    <row r="292" spans="1:18" s="42" customFormat="1" ht="37.5" customHeight="1">
      <c r="A292" s="63">
        <v>45055</v>
      </c>
      <c r="B292" s="42" t="s">
        <v>26</v>
      </c>
      <c r="C292" s="42" t="s">
        <v>756</v>
      </c>
      <c r="D292" s="60">
        <v>45055</v>
      </c>
      <c r="E292" s="60">
        <v>45055</v>
      </c>
      <c r="G292" s="43" t="s">
        <v>757</v>
      </c>
      <c r="H292" s="43"/>
      <c r="I292" s="43"/>
      <c r="J292" s="43" t="s">
        <v>11</v>
      </c>
      <c r="K292" s="43" t="s">
        <v>31</v>
      </c>
      <c r="L292" s="44" t="str">
        <f>IF(Tabla2[[#This Row],[Fecha de Resp]]&gt;Tabla2[[#This Row],[Fecha MAX de Resp]],"Retrasado",IF(Tabla2[[#This Row],[Fecha de Resp]]=0,"Pendiente",IF(Tabla2[[#This Row],[Fecha de Resp]]&lt;=Tabla2[[#This Row],[Fecha MAX de Resp]],"A Tiempo",0)))</f>
        <v>A Tiempo</v>
      </c>
      <c r="M292" s="43"/>
      <c r="N292" s="44"/>
      <c r="O292" s="48" t="b">
        <f>EXACT(Tabla2[[#This Row],[Fecha de Recibido]],Tabla2[[#This Row],[Fecha MAX de Resp]])</f>
        <v>1</v>
      </c>
      <c r="P292" s="48" t="b">
        <f>EXACT(Tabla2[[#This Row],[Fecha de Recibido]],Tabla2[[#This Row],[Fecha de Resp]])</f>
        <v>1</v>
      </c>
      <c r="Q292" s="45">
        <f>DATE(YEAR(Tabla2[[#This Row],[Fecha de Recibido]]),MONTH(Tabla2[[#This Row],[Fecha de Recibido]]),1)</f>
        <v>45047</v>
      </c>
      <c r="R292" s="45" t="s">
        <v>63</v>
      </c>
    </row>
    <row r="293" spans="1:18" s="42" customFormat="1" ht="37.5" customHeight="1">
      <c r="A293" s="63">
        <v>45055</v>
      </c>
      <c r="B293" s="42" t="s">
        <v>32</v>
      </c>
      <c r="C293" s="42" t="s">
        <v>758</v>
      </c>
      <c r="D293" s="61" t="s">
        <v>759</v>
      </c>
      <c r="E293" s="41">
        <v>45070</v>
      </c>
      <c r="F293" s="42" t="s">
        <v>760</v>
      </c>
      <c r="G293" s="43" t="s">
        <v>761</v>
      </c>
      <c r="H293" s="43"/>
      <c r="I293" s="43"/>
      <c r="J293" s="43" t="s">
        <v>3</v>
      </c>
      <c r="K293" s="43" t="s">
        <v>352</v>
      </c>
      <c r="L293" s="44" t="str">
        <f>IF(Tabla2[[#This Row],[Fecha de Resp]]&gt;Tabla2[[#This Row],[Fecha MAX de Resp]],"Retrasado",IF(Tabla2[[#This Row],[Fecha de Resp]]=0,"Pendiente",IF(Tabla2[[#This Row],[Fecha de Resp]]&lt;=Tabla2[[#This Row],[Fecha MAX de Resp]],"A Tiempo",0)))</f>
        <v>A Tiempo</v>
      </c>
      <c r="M293" s="45">
        <v>45070</v>
      </c>
      <c r="N293" s="44"/>
      <c r="O293" s="48" t="b">
        <f>EXACT(Tabla2[[#This Row],[Fecha de Recibido]],Tabla2[[#This Row],[Fecha MAX de Resp]])</f>
        <v>0</v>
      </c>
      <c r="P293" s="48" t="b">
        <f>EXACT(Tabla2[[#This Row],[Fecha de Recibido]],Tabla2[[#This Row],[Fecha de Resp]])</f>
        <v>0</v>
      </c>
      <c r="Q293" s="45">
        <f>DATE(YEAR(Tabla2[[#This Row],[Fecha de Recibido]]),MONTH(Tabla2[[#This Row],[Fecha de Recibido]]),1)</f>
        <v>45047</v>
      </c>
      <c r="R293" s="45" t="s">
        <v>63</v>
      </c>
    </row>
    <row r="294" spans="1:18" s="42" customFormat="1" ht="37.5" customHeight="1">
      <c r="A294" s="63">
        <v>45055</v>
      </c>
      <c r="B294" s="42" t="s">
        <v>32</v>
      </c>
      <c r="C294" s="42" t="s">
        <v>762</v>
      </c>
      <c r="D294" s="41">
        <v>45069</v>
      </c>
      <c r="E294" s="41">
        <v>45064</v>
      </c>
      <c r="F294" s="42" t="s">
        <v>763</v>
      </c>
      <c r="G294" s="43" t="s">
        <v>764</v>
      </c>
      <c r="H294" s="43" t="s">
        <v>765</v>
      </c>
      <c r="I294" s="43" t="s">
        <v>766</v>
      </c>
      <c r="J294" s="43" t="s">
        <v>8</v>
      </c>
      <c r="K294" s="43" t="s">
        <v>25</v>
      </c>
      <c r="L294" s="44" t="str">
        <f>IF(Tabla2[[#This Row],[Fecha de Resp]]&gt;Tabla2[[#This Row],[Fecha MAX de Resp]],"Retrasado",IF(Tabla2[[#This Row],[Fecha de Resp]]=0,"Pendiente",IF(Tabla2[[#This Row],[Fecha de Resp]]&lt;=Tabla2[[#This Row],[Fecha MAX de Resp]],"A Tiempo",0)))</f>
        <v>A Tiempo</v>
      </c>
      <c r="M294" s="45">
        <v>45054</v>
      </c>
      <c r="N294" s="44"/>
      <c r="O294" s="48" t="b">
        <f>EXACT(Tabla2[[#This Row],[Fecha de Recibido]],Tabla2[[#This Row],[Fecha MAX de Resp]])</f>
        <v>0</v>
      </c>
      <c r="P294" s="48" t="b">
        <f>EXACT(Tabla2[[#This Row],[Fecha de Recibido]],Tabla2[[#This Row],[Fecha de Resp]])</f>
        <v>0</v>
      </c>
      <c r="Q294" s="45">
        <f>DATE(YEAR(Tabla2[[#This Row],[Fecha de Recibido]]),MONTH(Tabla2[[#This Row],[Fecha de Recibido]]),1)</f>
        <v>45047</v>
      </c>
      <c r="R294" s="45" t="s">
        <v>63</v>
      </c>
    </row>
    <row r="295" spans="1:18" s="42" customFormat="1" ht="37.5" customHeight="1">
      <c r="A295" s="63">
        <v>45054</v>
      </c>
      <c r="B295" s="42" t="s">
        <v>17</v>
      </c>
      <c r="C295" s="42" t="s">
        <v>767</v>
      </c>
      <c r="D295" s="41">
        <v>45054</v>
      </c>
      <c r="E295" s="41">
        <v>45054</v>
      </c>
      <c r="F295" s="42" t="s">
        <v>768</v>
      </c>
      <c r="G295" s="43" t="s">
        <v>769</v>
      </c>
      <c r="H295" s="43" t="s">
        <v>770</v>
      </c>
      <c r="I295" s="43" t="s">
        <v>771</v>
      </c>
      <c r="J295" s="43" t="s">
        <v>14</v>
      </c>
      <c r="K295" s="43" t="s">
        <v>12</v>
      </c>
      <c r="L295" s="44" t="str">
        <f>IF(Tabla2[[#This Row],[Fecha de Resp]]&gt;Tabla2[[#This Row],[Fecha MAX de Resp]],"Retrasado",IF(Tabla2[[#This Row],[Fecha de Resp]]=0,"Pendiente",IF(Tabla2[[#This Row],[Fecha de Resp]]&lt;=Tabla2[[#This Row],[Fecha MAX de Resp]],"A Tiempo",0)))</f>
        <v>A Tiempo</v>
      </c>
      <c r="M295" s="43"/>
      <c r="N295" s="44"/>
      <c r="O295" s="48" t="b">
        <f>EXACT(Tabla2[[#This Row],[Fecha de Recibido]],Tabla2[[#This Row],[Fecha MAX de Resp]])</f>
        <v>1</v>
      </c>
      <c r="P295" s="48" t="b">
        <f>EXACT(Tabla2[[#This Row],[Fecha de Recibido]],Tabla2[[#This Row],[Fecha de Resp]])</f>
        <v>1</v>
      </c>
      <c r="Q295" s="45">
        <f>DATE(YEAR(Tabla2[[#This Row],[Fecha de Recibido]]),MONTH(Tabla2[[#This Row],[Fecha de Recibido]]),1)</f>
        <v>45047</v>
      </c>
      <c r="R295" s="45" t="s">
        <v>63</v>
      </c>
    </row>
    <row r="296" spans="1:18" s="42" customFormat="1" ht="37.5" customHeight="1">
      <c r="A296" s="63">
        <v>45050</v>
      </c>
      <c r="B296" s="42" t="s">
        <v>40</v>
      </c>
      <c r="C296" s="42" t="s">
        <v>772</v>
      </c>
      <c r="D296" s="41">
        <v>45056</v>
      </c>
      <c r="E296" s="41">
        <v>45056</v>
      </c>
      <c r="F296" s="42" t="s">
        <v>773</v>
      </c>
      <c r="G296" s="43" t="s">
        <v>774</v>
      </c>
      <c r="H296" s="43" t="s">
        <v>775</v>
      </c>
      <c r="I296" s="43"/>
      <c r="J296" s="43" t="s">
        <v>3</v>
      </c>
      <c r="K296" s="43" t="s">
        <v>4</v>
      </c>
      <c r="L296" s="44" t="str">
        <f>IF(Tabla2[[#This Row],[Fecha de Resp]]&gt;Tabla2[[#This Row],[Fecha MAX de Resp]],"Retrasado",IF(Tabla2[[#This Row],[Fecha de Resp]]=0,"Pendiente",IF(Tabla2[[#This Row],[Fecha de Resp]]&lt;=Tabla2[[#This Row],[Fecha MAX de Resp]],"A Tiempo",0)))</f>
        <v>A Tiempo</v>
      </c>
      <c r="M296" s="43"/>
      <c r="N296" s="44"/>
      <c r="O296" s="48" t="b">
        <f>EXACT(Tabla2[[#This Row],[Fecha de Recibido]],Tabla2[[#This Row],[Fecha MAX de Resp]])</f>
        <v>0</v>
      </c>
      <c r="P296" s="48" t="b">
        <f>EXACT(Tabla2[[#This Row],[Fecha de Recibido]],Tabla2[[#This Row],[Fecha de Resp]])</f>
        <v>0</v>
      </c>
      <c r="Q296" s="45">
        <f>DATE(YEAR(Tabla2[[#This Row],[Fecha de Recibido]]),MONTH(Tabla2[[#This Row],[Fecha de Recibido]]),1)</f>
        <v>45047</v>
      </c>
      <c r="R296" s="45" t="s">
        <v>63</v>
      </c>
    </row>
    <row r="297" spans="1:18" s="42" customFormat="1" ht="37.5" customHeight="1">
      <c r="A297" s="63">
        <v>45050</v>
      </c>
      <c r="B297" s="42" t="s">
        <v>32</v>
      </c>
      <c r="C297" s="42" t="s">
        <v>776</v>
      </c>
      <c r="D297" s="41">
        <v>45064</v>
      </c>
      <c r="E297" s="41">
        <v>45064</v>
      </c>
      <c r="F297" s="42" t="s">
        <v>777</v>
      </c>
      <c r="G297" s="43" t="s">
        <v>778</v>
      </c>
      <c r="H297" s="43"/>
      <c r="I297" s="43"/>
      <c r="J297" s="43" t="s">
        <v>3</v>
      </c>
      <c r="K297" s="43" t="s">
        <v>9</v>
      </c>
      <c r="L297" s="44" t="str">
        <f>IF(Tabla2[[#This Row],[Fecha de Resp]]&gt;Tabla2[[#This Row],[Fecha MAX de Resp]],"Retrasado",IF(Tabla2[[#This Row],[Fecha de Resp]]=0,"Pendiente",IF(Tabla2[[#This Row],[Fecha de Resp]]&lt;=Tabla2[[#This Row],[Fecha MAX de Resp]],"A Tiempo",0)))</f>
        <v>A Tiempo</v>
      </c>
      <c r="M297" s="57">
        <v>45050</v>
      </c>
      <c r="N297" s="44"/>
      <c r="O297" s="48" t="b">
        <f>EXACT(Tabla2[[#This Row],[Fecha de Recibido]],Tabla2[[#This Row],[Fecha MAX de Resp]])</f>
        <v>0</v>
      </c>
      <c r="P297" s="48" t="b">
        <f>EXACT(Tabla2[[#This Row],[Fecha de Recibido]],Tabla2[[#This Row],[Fecha de Resp]])</f>
        <v>0</v>
      </c>
      <c r="Q297" s="45">
        <f>DATE(YEAR(Tabla2[[#This Row],[Fecha de Recibido]]),MONTH(Tabla2[[#This Row],[Fecha de Recibido]]),1)</f>
        <v>45047</v>
      </c>
      <c r="R297" s="45" t="s">
        <v>63</v>
      </c>
    </row>
    <row r="298" spans="1:18" s="42" customFormat="1" ht="37.5" customHeight="1">
      <c r="A298" s="63">
        <v>45050</v>
      </c>
      <c r="B298" s="42" t="s">
        <v>743</v>
      </c>
      <c r="C298" s="42" t="s">
        <v>779</v>
      </c>
      <c r="D298" s="41">
        <v>45062</v>
      </c>
      <c r="E298" s="41">
        <v>45056</v>
      </c>
      <c r="F298" s="42" t="s">
        <v>780</v>
      </c>
      <c r="G298" s="43" t="s">
        <v>781</v>
      </c>
      <c r="H298" s="43" t="s">
        <v>782</v>
      </c>
      <c r="I298" s="43" t="s">
        <v>783</v>
      </c>
      <c r="J298" s="43" t="s">
        <v>3</v>
      </c>
      <c r="K298" s="43" t="s">
        <v>4</v>
      </c>
      <c r="L298" s="44" t="str">
        <f>IF(Tabla2[[#This Row],[Fecha de Resp]]&gt;Tabla2[[#This Row],[Fecha MAX de Resp]],"Retrasado",IF(Tabla2[[#This Row],[Fecha de Resp]]=0,"Pendiente",IF(Tabla2[[#This Row],[Fecha de Resp]]&lt;=Tabla2[[#This Row],[Fecha MAX de Resp]],"A Tiempo",0)))</f>
        <v>A Tiempo</v>
      </c>
      <c r="M298" s="45">
        <v>45048</v>
      </c>
      <c r="N298" s="44"/>
      <c r="O298" s="48" t="b">
        <f>EXACT(Tabla2[[#This Row],[Fecha de Recibido]],Tabla2[[#This Row],[Fecha MAX de Resp]])</f>
        <v>0</v>
      </c>
      <c r="P298" s="48" t="b">
        <f>EXACT(Tabla2[[#This Row],[Fecha de Recibido]],Tabla2[[#This Row],[Fecha de Resp]])</f>
        <v>0</v>
      </c>
      <c r="Q298" s="45">
        <f>DATE(YEAR(Tabla2[[#This Row],[Fecha de Recibido]]),MONTH(Tabla2[[#This Row],[Fecha de Recibido]]),1)</f>
        <v>45047</v>
      </c>
      <c r="R298" s="45" t="s">
        <v>63</v>
      </c>
    </row>
    <row r="299" spans="1:18" s="42" customFormat="1" ht="37.5" customHeight="1">
      <c r="A299" s="63">
        <v>45050</v>
      </c>
      <c r="B299" s="42" t="s">
        <v>17</v>
      </c>
      <c r="C299" s="42" t="s">
        <v>784</v>
      </c>
      <c r="D299" s="41">
        <v>45053</v>
      </c>
      <c r="E299" s="41">
        <v>45053</v>
      </c>
      <c r="F299" s="42" t="s">
        <v>785</v>
      </c>
      <c r="G299" s="43" t="s">
        <v>786</v>
      </c>
      <c r="H299" s="43"/>
      <c r="I299" s="43"/>
      <c r="J299" s="43" t="s">
        <v>3</v>
      </c>
      <c r="K299" s="43" t="s">
        <v>4</v>
      </c>
      <c r="L299" s="44" t="str">
        <f>IF(Tabla2[[#This Row],[Fecha de Resp]]&gt;Tabla2[[#This Row],[Fecha MAX de Resp]],"Retrasado",IF(Tabla2[[#This Row],[Fecha de Resp]]=0,"Pendiente",IF(Tabla2[[#This Row],[Fecha de Resp]]&lt;=Tabla2[[#This Row],[Fecha MAX de Resp]],"A Tiempo",0)))</f>
        <v>A Tiempo</v>
      </c>
      <c r="M299" s="44"/>
      <c r="N299" s="44"/>
      <c r="O299" s="48" t="b">
        <f>EXACT(Tabla2[[#This Row],[Fecha de Recibido]],Tabla2[[#This Row],[Fecha MAX de Resp]])</f>
        <v>0</v>
      </c>
      <c r="P299" s="48" t="b">
        <f>EXACT(Tabla2[[#This Row],[Fecha de Recibido]],Tabla2[[#This Row],[Fecha de Resp]])</f>
        <v>0</v>
      </c>
      <c r="Q299" s="45">
        <f>DATE(YEAR(Tabla2[[#This Row],[Fecha de Recibido]]),MONTH(Tabla2[[#This Row],[Fecha de Recibido]]),1)</f>
        <v>45047</v>
      </c>
      <c r="R299" s="45" t="s">
        <v>63</v>
      </c>
    </row>
    <row r="300" spans="1:18" s="42" customFormat="1" ht="37.5" customHeight="1">
      <c r="A300" s="63">
        <v>45045</v>
      </c>
      <c r="B300" s="42" t="s">
        <v>30</v>
      </c>
      <c r="C300" s="42" t="s">
        <v>787</v>
      </c>
      <c r="D300" s="41">
        <v>45045</v>
      </c>
      <c r="E300" s="41">
        <v>45045</v>
      </c>
      <c r="F300" s="42" t="s">
        <v>788</v>
      </c>
      <c r="G300" s="43" t="s">
        <v>789</v>
      </c>
      <c r="H300" s="43"/>
      <c r="I300" s="43"/>
      <c r="J300" s="43" t="s">
        <v>3</v>
      </c>
      <c r="K300" s="43" t="s">
        <v>27</v>
      </c>
      <c r="L300" s="44" t="str">
        <f>IF(Tabla2[[#This Row],[Fecha de Resp]]&gt;Tabla2[[#This Row],[Fecha MAX de Resp]],"Retrasado",IF(Tabla2[[#This Row],[Fecha de Resp]]=0,"Pendiente",IF(Tabla2[[#This Row],[Fecha de Resp]]&lt;=Tabla2[[#This Row],[Fecha MAX de Resp]],"A Tiempo",0)))</f>
        <v>A Tiempo</v>
      </c>
      <c r="M300" s="44"/>
      <c r="N300" s="44"/>
      <c r="O300" s="48" t="b">
        <f>EXACT(Tabla2[[#This Row],[Fecha de Recibido]],Tabla2[[#This Row],[Fecha MAX de Resp]])</f>
        <v>1</v>
      </c>
      <c r="P300" s="48" t="b">
        <f>EXACT(Tabla2[[#This Row],[Fecha de Recibido]],Tabla2[[#This Row],[Fecha de Resp]])</f>
        <v>1</v>
      </c>
      <c r="Q300" s="45">
        <f>DATE(YEAR(Tabla2[[#This Row],[Fecha de Recibido]]),MONTH(Tabla2[[#This Row],[Fecha de Recibido]]),1)</f>
        <v>45017</v>
      </c>
      <c r="R300" s="45" t="s">
        <v>63</v>
      </c>
    </row>
    <row r="301" spans="1:18" s="42" customFormat="1" ht="37.5" customHeight="1">
      <c r="A301" s="63">
        <v>45044</v>
      </c>
      <c r="B301" s="42" t="s">
        <v>17</v>
      </c>
      <c r="C301" s="42" t="s">
        <v>790</v>
      </c>
      <c r="D301" s="41">
        <v>45044</v>
      </c>
      <c r="E301" s="41">
        <v>45044</v>
      </c>
      <c r="F301" s="42" t="s">
        <v>791</v>
      </c>
      <c r="G301" s="43"/>
      <c r="H301" s="43" t="s">
        <v>792</v>
      </c>
      <c r="I301" s="43" t="s">
        <v>793</v>
      </c>
      <c r="J301" s="43" t="s">
        <v>3</v>
      </c>
      <c r="K301" s="43" t="s">
        <v>12</v>
      </c>
      <c r="L301" s="44" t="str">
        <f>IF(Tabla2[[#This Row],[Fecha de Resp]]&gt;Tabla2[[#This Row],[Fecha MAX de Resp]],"Retrasado",IF(Tabla2[[#This Row],[Fecha de Resp]]=0,"Pendiente",IF(Tabla2[[#This Row],[Fecha de Resp]]&lt;=Tabla2[[#This Row],[Fecha MAX de Resp]],"A Tiempo",0)))</f>
        <v>A Tiempo</v>
      </c>
      <c r="M301" s="43"/>
      <c r="N301" s="44"/>
      <c r="O301" s="48" t="b">
        <f>EXACT(Tabla2[[#This Row],[Fecha de Recibido]],Tabla2[[#This Row],[Fecha MAX de Resp]])</f>
        <v>1</v>
      </c>
      <c r="P301" s="48" t="b">
        <f>EXACT(Tabla2[[#This Row],[Fecha de Recibido]],Tabla2[[#This Row],[Fecha de Resp]])</f>
        <v>1</v>
      </c>
      <c r="Q301" s="45">
        <f>DATE(YEAR(Tabla2[[#This Row],[Fecha de Recibido]]),MONTH(Tabla2[[#This Row],[Fecha de Recibido]]),1)</f>
        <v>45017</v>
      </c>
      <c r="R301" s="45" t="s">
        <v>63</v>
      </c>
    </row>
    <row r="302" spans="1:18" s="42" customFormat="1" ht="37.5" customHeight="1">
      <c r="A302" s="63">
        <v>45043</v>
      </c>
      <c r="B302" s="42" t="s">
        <v>17</v>
      </c>
      <c r="C302" s="42" t="s">
        <v>794</v>
      </c>
      <c r="D302" s="41">
        <v>45049</v>
      </c>
      <c r="E302" s="41">
        <v>45049</v>
      </c>
      <c r="F302" s="42" t="s">
        <v>795</v>
      </c>
      <c r="G302" s="43" t="s">
        <v>796</v>
      </c>
      <c r="H302" s="43" t="s">
        <v>797</v>
      </c>
      <c r="I302" s="43"/>
      <c r="J302" s="43" t="s">
        <v>3</v>
      </c>
      <c r="K302" s="43" t="s">
        <v>4</v>
      </c>
      <c r="L302" s="44" t="str">
        <f>IF(Tabla2[[#This Row],[Fecha de Resp]]&gt;Tabla2[[#This Row],[Fecha MAX de Resp]],"Retrasado",IF(Tabla2[[#This Row],[Fecha de Resp]]=0,"Pendiente",IF(Tabla2[[#This Row],[Fecha de Resp]]&lt;=Tabla2[[#This Row],[Fecha MAX de Resp]],"A Tiempo",0)))</f>
        <v>A Tiempo</v>
      </c>
      <c r="M302" s="45">
        <v>45040</v>
      </c>
      <c r="N302" s="44"/>
      <c r="O302" s="48" t="b">
        <f>EXACT(Tabla2[[#This Row],[Fecha de Recibido]],Tabla2[[#This Row],[Fecha MAX de Resp]])</f>
        <v>0</v>
      </c>
      <c r="P302" s="48" t="b">
        <f>EXACT(Tabla2[[#This Row],[Fecha de Recibido]],Tabla2[[#This Row],[Fecha de Resp]])</f>
        <v>0</v>
      </c>
      <c r="Q302" s="45">
        <f>DATE(YEAR(Tabla2[[#This Row],[Fecha de Recibido]]),MONTH(Tabla2[[#This Row],[Fecha de Recibido]]),1)</f>
        <v>45017</v>
      </c>
      <c r="R302" s="45" t="s">
        <v>63</v>
      </c>
    </row>
    <row r="303" spans="1:18" s="42" customFormat="1" ht="37.5" customHeight="1">
      <c r="A303" s="63">
        <v>45043</v>
      </c>
      <c r="B303" s="42" t="s">
        <v>17</v>
      </c>
      <c r="C303" s="42" t="s">
        <v>798</v>
      </c>
      <c r="D303" s="41">
        <v>45044</v>
      </c>
      <c r="E303" s="41">
        <v>45044</v>
      </c>
      <c r="F303" s="42" t="s">
        <v>799</v>
      </c>
      <c r="G303" s="43" t="s">
        <v>800</v>
      </c>
      <c r="H303" s="43" t="s">
        <v>801</v>
      </c>
      <c r="I303" s="43"/>
      <c r="J303" s="43" t="s">
        <v>3</v>
      </c>
      <c r="K303" s="43" t="s">
        <v>4</v>
      </c>
      <c r="L303" s="44" t="str">
        <f>IF(Tabla2[[#This Row],[Fecha de Resp]]&gt;Tabla2[[#This Row],[Fecha MAX de Resp]],"Retrasado",IF(Tabla2[[#This Row],[Fecha de Resp]]=0,"Pendiente",IF(Tabla2[[#This Row],[Fecha de Resp]]&lt;=Tabla2[[#This Row],[Fecha MAX de Resp]],"A Tiempo",0)))</f>
        <v>A Tiempo</v>
      </c>
      <c r="M303" s="45">
        <v>45021</v>
      </c>
      <c r="N303" s="44"/>
      <c r="O303" s="48" t="b">
        <f>EXACT(Tabla2[[#This Row],[Fecha de Recibido]],Tabla2[[#This Row],[Fecha MAX de Resp]])</f>
        <v>0</v>
      </c>
      <c r="P303" s="48" t="b">
        <f>EXACT(Tabla2[[#This Row],[Fecha de Recibido]],Tabla2[[#This Row],[Fecha de Resp]])</f>
        <v>0</v>
      </c>
      <c r="Q303" s="45">
        <f>DATE(YEAR(Tabla2[[#This Row],[Fecha de Recibido]]),MONTH(Tabla2[[#This Row],[Fecha de Recibido]]),1)</f>
        <v>45017</v>
      </c>
      <c r="R303" s="45" t="s">
        <v>63</v>
      </c>
    </row>
    <row r="304" spans="1:18" s="42" customFormat="1" ht="37.5" customHeight="1">
      <c r="A304" s="63">
        <v>45043</v>
      </c>
      <c r="B304" s="42" t="s">
        <v>32</v>
      </c>
      <c r="C304" s="42" t="s">
        <v>802</v>
      </c>
      <c r="D304" s="41">
        <v>45047</v>
      </c>
      <c r="E304" s="41">
        <v>45020</v>
      </c>
      <c r="F304" s="42" t="s">
        <v>803</v>
      </c>
      <c r="G304" s="43" t="s">
        <v>804</v>
      </c>
      <c r="H304" s="43" t="s">
        <v>805</v>
      </c>
      <c r="I304" s="43"/>
      <c r="J304" s="43" t="s">
        <v>3</v>
      </c>
      <c r="K304" s="43" t="s">
        <v>25</v>
      </c>
      <c r="L304" s="44" t="str">
        <f>IF(Tabla2[[#This Row],[Fecha de Resp]]&gt;Tabla2[[#This Row],[Fecha MAX de Resp]],"Retrasado",IF(Tabla2[[#This Row],[Fecha de Resp]]=0,"Pendiente",IF(Tabla2[[#This Row],[Fecha de Resp]]&lt;=Tabla2[[#This Row],[Fecha MAX de Resp]],"A Tiempo",0)))</f>
        <v>A Tiempo</v>
      </c>
      <c r="M304" s="44"/>
      <c r="N304" s="44"/>
      <c r="O304" s="48" t="b">
        <f>EXACT(Tabla2[[#This Row],[Fecha de Recibido]],Tabla2[[#This Row],[Fecha MAX de Resp]])</f>
        <v>0</v>
      </c>
      <c r="P304" s="48" t="b">
        <f>EXACT(Tabla2[[#This Row],[Fecha de Recibido]],Tabla2[[#This Row],[Fecha de Resp]])</f>
        <v>0</v>
      </c>
      <c r="Q304" s="45">
        <f>DATE(YEAR(Tabla2[[#This Row],[Fecha de Recibido]]),MONTH(Tabla2[[#This Row],[Fecha de Recibido]]),1)</f>
        <v>45017</v>
      </c>
      <c r="R304" s="45" t="s">
        <v>63</v>
      </c>
    </row>
    <row r="305" spans="1:18" s="42" customFormat="1" ht="37.5" customHeight="1">
      <c r="A305" s="63">
        <v>45042</v>
      </c>
      <c r="B305" s="42" t="s">
        <v>30</v>
      </c>
      <c r="C305" s="42" t="s">
        <v>806</v>
      </c>
      <c r="D305" s="41">
        <v>45056</v>
      </c>
      <c r="E305" s="41">
        <v>45054</v>
      </c>
      <c r="F305" s="42" t="s">
        <v>807</v>
      </c>
      <c r="G305" s="50" t="s">
        <v>808</v>
      </c>
      <c r="H305" s="50" t="s">
        <v>809</v>
      </c>
      <c r="I305" s="50" t="s">
        <v>810</v>
      </c>
      <c r="J305" s="50" t="s">
        <v>8</v>
      </c>
      <c r="K305" s="43" t="s">
        <v>19</v>
      </c>
      <c r="L305" s="44" t="str">
        <f>IF(Tabla2[[#This Row],[Fecha de Resp]]&gt;Tabla2[[#This Row],[Fecha MAX de Resp]],"Retrasado",IF(Tabla2[[#This Row],[Fecha de Resp]]=0,"Pendiente",IF(Tabla2[[#This Row],[Fecha de Resp]]&lt;=Tabla2[[#This Row],[Fecha MAX de Resp]],"A Tiempo",0)))</f>
        <v>A Tiempo</v>
      </c>
      <c r="M305" s="51">
        <v>45042</v>
      </c>
      <c r="N305" s="44"/>
      <c r="O305" s="48" t="b">
        <f>EXACT(Tabla2[[#This Row],[Fecha de Recibido]],Tabla2[[#This Row],[Fecha MAX de Resp]])</f>
        <v>0</v>
      </c>
      <c r="P305" s="48" t="b">
        <f>EXACT(Tabla2[[#This Row],[Fecha de Recibido]],Tabla2[[#This Row],[Fecha de Resp]])</f>
        <v>0</v>
      </c>
      <c r="Q305" s="45">
        <f>DATE(YEAR(Tabla2[[#This Row],[Fecha de Recibido]]),MONTH(Tabla2[[#This Row],[Fecha de Recibido]]),1)</f>
        <v>45017</v>
      </c>
      <c r="R305" s="45" t="s">
        <v>63</v>
      </c>
    </row>
    <row r="306" spans="1:18" s="42" customFormat="1" ht="37.5" customHeight="1">
      <c r="A306" s="63">
        <v>45041</v>
      </c>
      <c r="B306" s="42" t="s">
        <v>41</v>
      </c>
      <c r="C306" s="42" t="s">
        <v>811</v>
      </c>
      <c r="D306" s="41">
        <v>45051</v>
      </c>
      <c r="E306" s="41">
        <v>45048</v>
      </c>
      <c r="F306" s="42" t="s">
        <v>812</v>
      </c>
      <c r="G306" s="43" t="s">
        <v>813</v>
      </c>
      <c r="H306" s="43" t="s">
        <v>814</v>
      </c>
      <c r="I306" s="43"/>
      <c r="J306" s="43" t="s">
        <v>3</v>
      </c>
      <c r="K306" s="43" t="s">
        <v>27</v>
      </c>
      <c r="L306" s="44" t="str">
        <f>IF(Tabla2[[#This Row],[Fecha de Resp]]&gt;Tabla2[[#This Row],[Fecha MAX de Resp]],"Retrasado",IF(Tabla2[[#This Row],[Fecha de Resp]]=0,"Pendiente",IF(Tabla2[[#This Row],[Fecha de Resp]]&lt;=Tabla2[[#This Row],[Fecha MAX de Resp]],"A Tiempo",0)))</f>
        <v>A Tiempo</v>
      </c>
      <c r="M306" s="44"/>
      <c r="N306" s="44"/>
      <c r="O306" s="48" t="b">
        <f>EXACT(Tabla2[[#This Row],[Fecha de Recibido]],Tabla2[[#This Row],[Fecha MAX de Resp]])</f>
        <v>0</v>
      </c>
      <c r="P306" s="48" t="b">
        <f>EXACT(Tabla2[[#This Row],[Fecha de Recibido]],Tabla2[[#This Row],[Fecha de Resp]])</f>
        <v>0</v>
      </c>
      <c r="Q306" s="45">
        <f>DATE(YEAR(Tabla2[[#This Row],[Fecha de Recibido]]),MONTH(Tabla2[[#This Row],[Fecha de Recibido]]),1)</f>
        <v>45017</v>
      </c>
      <c r="R306" s="45" t="s">
        <v>63</v>
      </c>
    </row>
    <row r="307" spans="1:18" s="42" customFormat="1" ht="37.5" customHeight="1">
      <c r="A307" s="63">
        <v>45040</v>
      </c>
      <c r="B307" s="42" t="s">
        <v>40</v>
      </c>
      <c r="C307" s="42" t="s">
        <v>815</v>
      </c>
      <c r="D307" s="41">
        <v>45055</v>
      </c>
      <c r="E307" s="41">
        <v>45055</v>
      </c>
      <c r="F307" s="42" t="s">
        <v>816</v>
      </c>
      <c r="G307" s="43" t="s">
        <v>817</v>
      </c>
      <c r="H307" s="43"/>
      <c r="I307" s="43" t="s">
        <v>818</v>
      </c>
      <c r="J307" s="43" t="s">
        <v>3</v>
      </c>
      <c r="K307" s="43" t="s">
        <v>4</v>
      </c>
      <c r="L307" s="44" t="str">
        <f>IF(Tabla2[[#This Row],[Fecha de Resp]]&gt;Tabla2[[#This Row],[Fecha MAX de Resp]],"Retrasado",IF(Tabla2[[#This Row],[Fecha de Resp]]=0,"Pendiente",IF(Tabla2[[#This Row],[Fecha de Resp]]&lt;=Tabla2[[#This Row],[Fecha MAX de Resp]],"A Tiempo",0)))</f>
        <v>A Tiempo</v>
      </c>
      <c r="M307" s="43"/>
      <c r="N307" s="44"/>
      <c r="O307" s="48" t="b">
        <f>EXACT(Tabla2[[#This Row],[Fecha de Recibido]],Tabla2[[#This Row],[Fecha MAX de Resp]])</f>
        <v>0</v>
      </c>
      <c r="P307" s="48" t="b">
        <f>EXACT(Tabla2[[#This Row],[Fecha de Recibido]],Tabla2[[#This Row],[Fecha de Resp]])</f>
        <v>0</v>
      </c>
      <c r="Q307" s="45">
        <f>DATE(YEAR(Tabla2[[#This Row],[Fecha de Recibido]]),MONTH(Tabla2[[#This Row],[Fecha de Recibido]]),1)</f>
        <v>45017</v>
      </c>
      <c r="R307" s="45" t="s">
        <v>63</v>
      </c>
    </row>
    <row r="308" spans="1:18" s="42" customFormat="1" ht="37.5" customHeight="1">
      <c r="A308" s="63">
        <v>45037</v>
      </c>
      <c r="B308" s="42" t="s">
        <v>32</v>
      </c>
      <c r="C308" s="42" t="s">
        <v>819</v>
      </c>
      <c r="D308" s="41">
        <v>45169</v>
      </c>
      <c r="E308" s="41">
        <v>45169</v>
      </c>
      <c r="G308" s="59" t="s">
        <v>820</v>
      </c>
      <c r="H308" s="43" t="s">
        <v>821</v>
      </c>
      <c r="I308" s="43" t="s">
        <v>822</v>
      </c>
      <c r="J308" s="43" t="s">
        <v>3</v>
      </c>
      <c r="K308" s="43" t="s">
        <v>360</v>
      </c>
      <c r="L308" s="44" t="str">
        <f>IF(Tabla2[[#This Row],[Fecha de Resp]]&gt;Tabla2[[#This Row],[Fecha MAX de Resp]],"Retrasado",IF(Tabla2[[#This Row],[Fecha de Resp]]=0,"Pendiente",IF(Tabla2[[#This Row],[Fecha de Resp]]&lt;=Tabla2[[#This Row],[Fecha MAX de Resp]],"A Tiempo",0)))</f>
        <v>A Tiempo</v>
      </c>
      <c r="M308" s="45">
        <v>45173</v>
      </c>
      <c r="N308" s="44" t="s">
        <v>823</v>
      </c>
      <c r="O308" s="48" t="b">
        <f>EXACT(Tabla2[[#This Row],[Fecha de Recibido]],Tabla2[[#This Row],[Fecha MAX de Resp]])</f>
        <v>0</v>
      </c>
      <c r="P308" s="48" t="b">
        <f>EXACT(Tabla2[[#This Row],[Fecha de Recibido]],Tabla2[[#This Row],[Fecha de Resp]])</f>
        <v>0</v>
      </c>
      <c r="Q308" s="45">
        <f>DATE(YEAR(Tabla2[[#This Row],[Fecha de Recibido]]),MONTH(Tabla2[[#This Row],[Fecha de Recibido]]),1)</f>
        <v>45017</v>
      </c>
      <c r="R308" s="45" t="s">
        <v>63</v>
      </c>
    </row>
    <row r="309" spans="1:18" s="42" customFormat="1" ht="37.5" customHeight="1">
      <c r="A309" s="63">
        <v>45037</v>
      </c>
      <c r="B309" s="42" t="s">
        <v>32</v>
      </c>
      <c r="C309" s="42" t="s">
        <v>824</v>
      </c>
      <c r="D309" s="41">
        <v>44942</v>
      </c>
      <c r="E309" s="41">
        <v>44917</v>
      </c>
      <c r="F309" s="42" t="s">
        <v>825</v>
      </c>
      <c r="G309" s="43"/>
      <c r="H309" s="43"/>
      <c r="I309" s="43"/>
      <c r="J309" s="43" t="s">
        <v>3</v>
      </c>
      <c r="K309" s="43" t="s">
        <v>360</v>
      </c>
      <c r="L309" s="44" t="str">
        <f>IF(Tabla2[[#This Row],[Fecha de Resp]]&gt;Tabla2[[#This Row],[Fecha MAX de Resp]],"Retrasado",IF(Tabla2[[#This Row],[Fecha de Resp]]=0,"Pendiente",IF(Tabla2[[#This Row],[Fecha de Resp]]&lt;=Tabla2[[#This Row],[Fecha MAX de Resp]],"A Tiempo",0)))</f>
        <v>A Tiempo</v>
      </c>
      <c r="M309" s="44"/>
      <c r="N309" s="44"/>
      <c r="O309" s="48" t="b">
        <f>EXACT(Tabla2[[#This Row],[Fecha de Recibido]],Tabla2[[#This Row],[Fecha MAX de Resp]])</f>
        <v>0</v>
      </c>
      <c r="P309" s="48" t="b">
        <f>EXACT(Tabla2[[#This Row],[Fecha de Recibido]],Tabla2[[#This Row],[Fecha de Resp]])</f>
        <v>0</v>
      </c>
      <c r="Q309" s="45">
        <f>DATE(YEAR(Tabla2[[#This Row],[Fecha de Recibido]]),MONTH(Tabla2[[#This Row],[Fecha de Recibido]]),1)</f>
        <v>45017</v>
      </c>
      <c r="R309" s="45" t="s">
        <v>63</v>
      </c>
    </row>
    <row r="310" spans="1:18" s="42" customFormat="1" ht="37.5" customHeight="1">
      <c r="A310" s="63">
        <v>45035</v>
      </c>
      <c r="B310" s="42" t="s">
        <v>41</v>
      </c>
      <c r="C310" s="42" t="s">
        <v>826</v>
      </c>
      <c r="D310" s="41">
        <v>45050</v>
      </c>
      <c r="E310" s="41">
        <v>45050</v>
      </c>
      <c r="F310" s="42" t="s">
        <v>827</v>
      </c>
      <c r="G310" s="50" t="s">
        <v>828</v>
      </c>
      <c r="H310" s="50" t="s">
        <v>829</v>
      </c>
      <c r="I310" s="50"/>
      <c r="J310" s="43" t="s">
        <v>3</v>
      </c>
      <c r="K310" s="43" t="s">
        <v>25</v>
      </c>
      <c r="L310" s="44" t="str">
        <f>IF(Tabla2[[#This Row],[Fecha de Resp]]&gt;Tabla2[[#This Row],[Fecha MAX de Resp]],"Retrasado",IF(Tabla2[[#This Row],[Fecha de Resp]]=0,"Pendiente",IF(Tabla2[[#This Row],[Fecha de Resp]]&lt;=Tabla2[[#This Row],[Fecha MAX de Resp]],"A Tiempo",0)))</f>
        <v>A Tiempo</v>
      </c>
      <c r="M310" s="52"/>
      <c r="N310" s="44"/>
      <c r="O310" s="48" t="b">
        <f>EXACT(Tabla2[[#This Row],[Fecha de Recibido]],Tabla2[[#This Row],[Fecha MAX de Resp]])</f>
        <v>0</v>
      </c>
      <c r="P310" s="48" t="b">
        <f>EXACT(Tabla2[[#This Row],[Fecha de Recibido]],Tabla2[[#This Row],[Fecha de Resp]])</f>
        <v>0</v>
      </c>
      <c r="Q310" s="45">
        <f>DATE(YEAR(Tabla2[[#This Row],[Fecha de Recibido]]),MONTH(Tabla2[[#This Row],[Fecha de Recibido]]),1)</f>
        <v>45017</v>
      </c>
      <c r="R310" s="45" t="s">
        <v>63</v>
      </c>
    </row>
    <row r="311" spans="1:18" s="42" customFormat="1" ht="34.5" customHeight="1">
      <c r="A311" s="63">
        <v>45034</v>
      </c>
      <c r="B311" s="42" t="s">
        <v>30</v>
      </c>
      <c r="C311" s="42" t="s">
        <v>830</v>
      </c>
      <c r="D311" s="41">
        <v>45035</v>
      </c>
      <c r="E311" s="41">
        <v>45035</v>
      </c>
      <c r="F311" s="42" t="s">
        <v>831</v>
      </c>
      <c r="G311" s="43"/>
      <c r="H311" s="43" t="s">
        <v>832</v>
      </c>
      <c r="I311" s="43"/>
      <c r="J311" s="43" t="s">
        <v>11</v>
      </c>
      <c r="K311" s="43" t="s">
        <v>465</v>
      </c>
      <c r="L311" s="44" t="str">
        <f>IF(Tabla2[[#This Row],[Fecha de Resp]]&gt;Tabla2[[#This Row],[Fecha MAX de Resp]],"Retrasado",IF(Tabla2[[#This Row],[Fecha de Resp]]=0,"Pendiente",IF(Tabla2[[#This Row],[Fecha de Resp]]&lt;=Tabla2[[#This Row],[Fecha MAX de Resp]],"A Tiempo",0)))</f>
        <v>A Tiempo</v>
      </c>
      <c r="M311" s="44"/>
      <c r="N311" s="44"/>
      <c r="O311" s="48" t="b">
        <f>EXACT(Tabla2[[#This Row],[Fecha de Recibido]],Tabla2[[#This Row],[Fecha MAX de Resp]])</f>
        <v>0</v>
      </c>
      <c r="P311" s="48" t="b">
        <f>EXACT(Tabla2[[#This Row],[Fecha de Recibido]],Tabla2[[#This Row],[Fecha de Resp]])</f>
        <v>0</v>
      </c>
      <c r="Q311" s="45">
        <f>DATE(YEAR(Tabla2[[#This Row],[Fecha de Recibido]]),MONTH(Tabla2[[#This Row],[Fecha de Recibido]]),1)</f>
        <v>45017</v>
      </c>
      <c r="R311" s="45" t="s">
        <v>63</v>
      </c>
    </row>
    <row r="312" spans="1:18" s="42" customFormat="1" ht="35.25" customHeight="1">
      <c r="A312" s="63">
        <v>45034</v>
      </c>
      <c r="B312" s="42" t="s">
        <v>30</v>
      </c>
      <c r="C312" s="42" t="s">
        <v>833</v>
      </c>
      <c r="D312" s="41">
        <v>45035</v>
      </c>
      <c r="E312" s="41">
        <v>45035</v>
      </c>
      <c r="F312" s="42" t="s">
        <v>834</v>
      </c>
      <c r="G312" s="43"/>
      <c r="H312" s="43" t="s">
        <v>835</v>
      </c>
      <c r="I312" s="43"/>
      <c r="J312" s="43" t="s">
        <v>14</v>
      </c>
      <c r="K312" s="43" t="s">
        <v>465</v>
      </c>
      <c r="L312" s="44" t="str">
        <f>IF(Tabla2[[#This Row],[Fecha de Resp]]&gt;Tabla2[[#This Row],[Fecha MAX de Resp]],"Retrasado",IF(Tabla2[[#This Row],[Fecha de Resp]]=0,"Pendiente",IF(Tabla2[[#This Row],[Fecha de Resp]]&lt;=Tabla2[[#This Row],[Fecha MAX de Resp]],"A Tiempo",0)))</f>
        <v>A Tiempo</v>
      </c>
      <c r="M312" s="44"/>
      <c r="N312" s="44"/>
      <c r="O312" s="48" t="b">
        <f>EXACT(Tabla2[[#This Row],[Fecha de Recibido]],Tabla2[[#This Row],[Fecha MAX de Resp]])</f>
        <v>0</v>
      </c>
      <c r="P312" s="48" t="b">
        <f>EXACT(Tabla2[[#This Row],[Fecha de Recibido]],Tabla2[[#This Row],[Fecha de Resp]])</f>
        <v>0</v>
      </c>
      <c r="Q312" s="45">
        <f>DATE(YEAR(Tabla2[[#This Row],[Fecha de Recibido]]),MONTH(Tabla2[[#This Row],[Fecha de Recibido]]),1)</f>
        <v>45017</v>
      </c>
      <c r="R312" s="45" t="s">
        <v>63</v>
      </c>
    </row>
    <row r="313" spans="1:18" s="42" customFormat="1" ht="36.75" customHeight="1">
      <c r="A313" s="63">
        <v>45034</v>
      </c>
      <c r="B313" s="42" t="s">
        <v>30</v>
      </c>
      <c r="C313" s="42" t="s">
        <v>836</v>
      </c>
      <c r="D313" s="41">
        <v>45035</v>
      </c>
      <c r="E313" s="41">
        <v>45035</v>
      </c>
      <c r="F313" s="42" t="s">
        <v>837</v>
      </c>
      <c r="G313" s="43"/>
      <c r="H313" s="43" t="s">
        <v>838</v>
      </c>
      <c r="I313" s="43"/>
      <c r="J313" s="43" t="s">
        <v>8</v>
      </c>
      <c r="K313" s="43" t="s">
        <v>465</v>
      </c>
      <c r="L313" s="44" t="str">
        <f>IF(Tabla2[[#This Row],[Fecha de Resp]]&gt;Tabla2[[#This Row],[Fecha MAX de Resp]],"Retrasado",IF(Tabla2[[#This Row],[Fecha de Resp]]=0,"Pendiente",IF(Tabla2[[#This Row],[Fecha de Resp]]&lt;=Tabla2[[#This Row],[Fecha MAX de Resp]],"A Tiempo",0)))</f>
        <v>A Tiempo</v>
      </c>
      <c r="M313" s="44"/>
      <c r="N313" s="44"/>
      <c r="O313" s="48" t="b">
        <f>EXACT(Tabla2[[#This Row],[Fecha de Recibido]],Tabla2[[#This Row],[Fecha MAX de Resp]])</f>
        <v>0</v>
      </c>
      <c r="P313" s="48" t="b">
        <f>EXACT(Tabla2[[#This Row],[Fecha de Recibido]],Tabla2[[#This Row],[Fecha de Resp]])</f>
        <v>0</v>
      </c>
      <c r="Q313" s="45">
        <f>DATE(YEAR(Tabla2[[#This Row],[Fecha de Recibido]]),MONTH(Tabla2[[#This Row],[Fecha de Recibido]]),1)</f>
        <v>45017</v>
      </c>
      <c r="R313" s="45" t="s">
        <v>63</v>
      </c>
    </row>
    <row r="314" spans="1:18" s="42" customFormat="1" ht="36.75" customHeight="1">
      <c r="A314" s="63">
        <v>45034</v>
      </c>
      <c r="B314" s="42" t="s">
        <v>30</v>
      </c>
      <c r="C314" s="42" t="s">
        <v>839</v>
      </c>
      <c r="D314" s="41">
        <v>45035</v>
      </c>
      <c r="E314" s="41">
        <v>45035</v>
      </c>
      <c r="F314" s="42" t="s">
        <v>831</v>
      </c>
      <c r="G314" s="43"/>
      <c r="H314" s="43" t="s">
        <v>840</v>
      </c>
      <c r="I314" s="43"/>
      <c r="J314" s="43" t="s">
        <v>3</v>
      </c>
      <c r="K314" s="43" t="s">
        <v>465</v>
      </c>
      <c r="L314" s="44" t="str">
        <f>IF(Tabla2[[#This Row],[Fecha de Resp]]&gt;Tabla2[[#This Row],[Fecha MAX de Resp]],"Retrasado",IF(Tabla2[[#This Row],[Fecha de Resp]]=0,"Pendiente",IF(Tabla2[[#This Row],[Fecha de Resp]]&lt;=Tabla2[[#This Row],[Fecha MAX de Resp]],"A Tiempo",0)))</f>
        <v>A Tiempo</v>
      </c>
      <c r="M314" s="44"/>
      <c r="N314" s="44"/>
      <c r="O314" s="48" t="b">
        <f>EXACT(Tabla2[[#This Row],[Fecha de Recibido]],Tabla2[[#This Row],[Fecha MAX de Resp]])</f>
        <v>0</v>
      </c>
      <c r="P314" s="48" t="b">
        <f>EXACT(Tabla2[[#This Row],[Fecha de Recibido]],Tabla2[[#This Row],[Fecha de Resp]])</f>
        <v>0</v>
      </c>
      <c r="Q314" s="45">
        <f>DATE(YEAR(Tabla2[[#This Row],[Fecha de Recibido]]),MONTH(Tabla2[[#This Row],[Fecha de Recibido]]),1)</f>
        <v>45017</v>
      </c>
      <c r="R314" s="45" t="s">
        <v>63</v>
      </c>
    </row>
    <row r="315" spans="1:18" s="42" customFormat="1" ht="36.75" customHeight="1">
      <c r="A315" s="63">
        <v>45034</v>
      </c>
      <c r="B315" s="42" t="s">
        <v>30</v>
      </c>
      <c r="C315" s="42" t="s">
        <v>841</v>
      </c>
      <c r="D315" s="41">
        <v>45034</v>
      </c>
      <c r="E315" s="41">
        <v>45034</v>
      </c>
      <c r="F315" s="42" t="s">
        <v>842</v>
      </c>
      <c r="G315" s="43" t="s">
        <v>843</v>
      </c>
      <c r="H315" s="43"/>
      <c r="I315" s="43"/>
      <c r="J315" s="43" t="s">
        <v>11</v>
      </c>
      <c r="K315" s="43" t="s">
        <v>27</v>
      </c>
      <c r="L315" s="44" t="str">
        <f>IF(Tabla2[[#This Row],[Fecha de Resp]]&gt;Tabla2[[#This Row],[Fecha MAX de Resp]],"Retrasado",IF(Tabla2[[#This Row],[Fecha de Resp]]=0,"Pendiente",IF(Tabla2[[#This Row],[Fecha de Resp]]&lt;=Tabla2[[#This Row],[Fecha MAX de Resp]],"A Tiempo",0)))</f>
        <v>A Tiempo</v>
      </c>
      <c r="M315" s="44"/>
      <c r="N315" s="44"/>
      <c r="O315" s="48" t="b">
        <f>EXACT(Tabla2[[#This Row],[Fecha de Recibido]],Tabla2[[#This Row],[Fecha MAX de Resp]])</f>
        <v>1</v>
      </c>
      <c r="P315" s="48" t="b">
        <f>EXACT(Tabla2[[#This Row],[Fecha de Recibido]],Tabla2[[#This Row],[Fecha de Resp]])</f>
        <v>1</v>
      </c>
      <c r="Q315" s="45">
        <f>DATE(YEAR(Tabla2[[#This Row],[Fecha de Recibido]]),MONTH(Tabla2[[#This Row],[Fecha de Recibido]]),1)</f>
        <v>45017</v>
      </c>
      <c r="R315" s="45" t="s">
        <v>63</v>
      </c>
    </row>
    <row r="316" spans="1:18" s="42" customFormat="1" ht="36.75" customHeight="1">
      <c r="A316" s="63">
        <v>45034</v>
      </c>
      <c r="B316" s="42" t="s">
        <v>30</v>
      </c>
      <c r="C316" s="42" t="s">
        <v>844</v>
      </c>
      <c r="D316" s="41">
        <v>45034</v>
      </c>
      <c r="E316" s="41">
        <v>45034</v>
      </c>
      <c r="F316" s="42" t="s">
        <v>842</v>
      </c>
      <c r="G316" s="43" t="s">
        <v>845</v>
      </c>
      <c r="H316" s="43"/>
      <c r="I316" s="43"/>
      <c r="J316" s="43" t="s">
        <v>8</v>
      </c>
      <c r="K316" s="43" t="s">
        <v>360</v>
      </c>
      <c r="L316" s="44" t="str">
        <f>IF(Tabla2[[#This Row],[Fecha de Resp]]&gt;Tabla2[[#This Row],[Fecha MAX de Resp]],"Retrasado",IF(Tabla2[[#This Row],[Fecha de Resp]]=0,"Pendiente",IF(Tabla2[[#This Row],[Fecha de Resp]]&lt;=Tabla2[[#This Row],[Fecha MAX de Resp]],"A Tiempo",0)))</f>
        <v>A Tiempo</v>
      </c>
      <c r="M316" s="44"/>
      <c r="N316" s="44"/>
      <c r="O316" s="48" t="b">
        <f>EXACT(Tabla2[[#This Row],[Fecha de Recibido]],Tabla2[[#This Row],[Fecha MAX de Resp]])</f>
        <v>1</v>
      </c>
      <c r="P316" s="48" t="b">
        <f>EXACT(Tabla2[[#This Row],[Fecha de Recibido]],Tabla2[[#This Row],[Fecha de Resp]])</f>
        <v>1</v>
      </c>
      <c r="Q316" s="45">
        <f>DATE(YEAR(Tabla2[[#This Row],[Fecha de Recibido]]),MONTH(Tabla2[[#This Row],[Fecha de Recibido]]),1)</f>
        <v>45017</v>
      </c>
      <c r="R316" s="45" t="s">
        <v>63</v>
      </c>
    </row>
    <row r="317" spans="1:18" s="42" customFormat="1" ht="36.75" customHeight="1">
      <c r="A317" s="63">
        <v>45034</v>
      </c>
      <c r="B317" s="42" t="s">
        <v>17</v>
      </c>
      <c r="C317" s="42" t="s">
        <v>846</v>
      </c>
      <c r="D317" s="41">
        <v>45034</v>
      </c>
      <c r="E317" s="41">
        <v>45034</v>
      </c>
      <c r="F317" s="42" t="s">
        <v>847</v>
      </c>
      <c r="G317" s="43" t="s">
        <v>848</v>
      </c>
      <c r="H317" s="43"/>
      <c r="I317" s="43"/>
      <c r="J317" s="43" t="s">
        <v>3</v>
      </c>
      <c r="K317" s="43" t="s">
        <v>360</v>
      </c>
      <c r="L317" s="44" t="str">
        <f>IF(Tabla2[[#This Row],[Fecha de Resp]]&gt;Tabla2[[#This Row],[Fecha MAX de Resp]],"Retrasado",IF(Tabla2[[#This Row],[Fecha de Resp]]=0,"Pendiente",IF(Tabla2[[#This Row],[Fecha de Resp]]&lt;=Tabla2[[#This Row],[Fecha MAX de Resp]],"A Tiempo",0)))</f>
        <v>A Tiempo</v>
      </c>
      <c r="M317" s="44"/>
      <c r="N317" s="44"/>
      <c r="O317" s="48" t="b">
        <f>EXACT(Tabla2[[#This Row],[Fecha de Recibido]],Tabla2[[#This Row],[Fecha MAX de Resp]])</f>
        <v>1</v>
      </c>
      <c r="P317" s="48" t="b">
        <f>EXACT(Tabla2[[#This Row],[Fecha de Recibido]],Tabla2[[#This Row],[Fecha de Resp]])</f>
        <v>1</v>
      </c>
      <c r="Q317" s="45">
        <f>DATE(YEAR(Tabla2[[#This Row],[Fecha de Recibido]]),MONTH(Tabla2[[#This Row],[Fecha de Recibido]]),1)</f>
        <v>45017</v>
      </c>
      <c r="R317" s="45" t="s">
        <v>63</v>
      </c>
    </row>
    <row r="318" spans="1:18" s="42" customFormat="1" ht="36.75" customHeight="1">
      <c r="A318" s="63">
        <v>45030</v>
      </c>
      <c r="B318" s="42" t="s">
        <v>32</v>
      </c>
      <c r="C318" s="42" t="s">
        <v>849</v>
      </c>
      <c r="D318" s="41">
        <v>45084</v>
      </c>
      <c r="E318" s="41">
        <v>45084</v>
      </c>
      <c r="F318" s="42" t="s">
        <v>850</v>
      </c>
      <c r="G318" s="43" t="s">
        <v>851</v>
      </c>
      <c r="H318" s="43"/>
      <c r="I318" s="43"/>
      <c r="J318" s="43" t="s">
        <v>3</v>
      </c>
      <c r="K318" s="43" t="s">
        <v>360</v>
      </c>
      <c r="L318" s="44" t="str">
        <f>IF(Tabla2[[#This Row],[Fecha de Resp]]&gt;Tabla2[[#This Row],[Fecha MAX de Resp]],"Retrasado",IF(Tabla2[[#This Row],[Fecha de Resp]]=0,"Pendiente",IF(Tabla2[[#This Row],[Fecha de Resp]]&lt;=Tabla2[[#This Row],[Fecha MAX de Resp]],"A Tiempo",0)))</f>
        <v>A Tiempo</v>
      </c>
      <c r="M318" s="43"/>
      <c r="N318" s="44"/>
      <c r="O318" s="48" t="b">
        <f>EXACT(Tabla2[[#This Row],[Fecha de Recibido]],Tabla2[[#This Row],[Fecha MAX de Resp]])</f>
        <v>0</v>
      </c>
      <c r="P318" s="48" t="b">
        <f>EXACT(Tabla2[[#This Row],[Fecha de Recibido]],Tabla2[[#This Row],[Fecha de Resp]])</f>
        <v>0</v>
      </c>
      <c r="Q318" s="45">
        <f>DATE(YEAR(Tabla2[[#This Row],[Fecha de Recibido]]),MONTH(Tabla2[[#This Row],[Fecha de Recibido]]),1)</f>
        <v>45017</v>
      </c>
      <c r="R318" s="45" t="s">
        <v>63</v>
      </c>
    </row>
    <row r="319" spans="1:18" s="42" customFormat="1" ht="36.75" customHeight="1">
      <c r="A319" s="63">
        <v>45030</v>
      </c>
      <c r="B319" s="42" t="s">
        <v>32</v>
      </c>
      <c r="C319" s="42" t="s">
        <v>852</v>
      </c>
      <c r="D319" s="41">
        <v>45036</v>
      </c>
      <c r="E319" s="41">
        <v>45036</v>
      </c>
      <c r="F319" s="42" t="s">
        <v>853</v>
      </c>
      <c r="G319" s="43" t="s">
        <v>854</v>
      </c>
      <c r="H319" s="43"/>
      <c r="I319" s="43" t="s">
        <v>855</v>
      </c>
      <c r="J319" s="43" t="s">
        <v>3</v>
      </c>
      <c r="K319" s="43" t="s">
        <v>352</v>
      </c>
      <c r="L319" s="44" t="str">
        <f>IF(Tabla2[[#This Row],[Fecha de Resp]]&gt;Tabla2[[#This Row],[Fecha MAX de Resp]],"Retrasado",IF(Tabla2[[#This Row],[Fecha de Resp]]=0,"Pendiente",IF(Tabla2[[#This Row],[Fecha de Resp]]&lt;=Tabla2[[#This Row],[Fecha MAX de Resp]],"A Tiempo",0)))</f>
        <v>A Tiempo</v>
      </c>
      <c r="M319" s="44"/>
      <c r="N319" s="44"/>
      <c r="O319" s="48" t="b">
        <f>EXACT(Tabla2[[#This Row],[Fecha de Recibido]],Tabla2[[#This Row],[Fecha MAX de Resp]])</f>
        <v>0</v>
      </c>
      <c r="P319" s="48" t="b">
        <f>EXACT(Tabla2[[#This Row],[Fecha de Recibido]],Tabla2[[#This Row],[Fecha de Resp]])</f>
        <v>0</v>
      </c>
      <c r="Q319" s="45">
        <f>DATE(YEAR(Tabla2[[#This Row],[Fecha de Recibido]]),MONTH(Tabla2[[#This Row],[Fecha de Recibido]]),1)</f>
        <v>45017</v>
      </c>
      <c r="R319" s="45" t="s">
        <v>63</v>
      </c>
    </row>
    <row r="320" spans="1:18" s="42" customFormat="1" ht="36.75" customHeight="1">
      <c r="A320" s="63">
        <v>45030</v>
      </c>
      <c r="B320" s="42" t="s">
        <v>601</v>
      </c>
      <c r="C320" s="42" t="s">
        <v>856</v>
      </c>
      <c r="D320" s="41">
        <v>45044</v>
      </c>
      <c r="E320" s="41">
        <v>45044</v>
      </c>
      <c r="F320" s="42" t="s">
        <v>857</v>
      </c>
      <c r="G320" s="50" t="s">
        <v>858</v>
      </c>
      <c r="H320" s="43" t="s">
        <v>859</v>
      </c>
      <c r="I320" s="50" t="s">
        <v>858</v>
      </c>
      <c r="J320" s="43" t="s">
        <v>3</v>
      </c>
      <c r="K320" s="43" t="s">
        <v>25</v>
      </c>
      <c r="L320" s="44" t="str">
        <f>IF(Tabla2[[#This Row],[Fecha de Resp]]&gt;Tabla2[[#This Row],[Fecha MAX de Resp]],"Retrasado",IF(Tabla2[[#This Row],[Fecha de Resp]]=0,"Pendiente",IF(Tabla2[[#This Row],[Fecha de Resp]]&lt;=Tabla2[[#This Row],[Fecha MAX de Resp]],"A Tiempo",0)))</f>
        <v>A Tiempo</v>
      </c>
      <c r="M320" s="57">
        <v>45030</v>
      </c>
      <c r="N320" s="44"/>
      <c r="O320" s="48" t="b">
        <f>EXACT(Tabla2[[#This Row],[Fecha de Recibido]],Tabla2[[#This Row],[Fecha MAX de Resp]])</f>
        <v>0</v>
      </c>
      <c r="P320" s="48" t="b">
        <f>EXACT(Tabla2[[#This Row],[Fecha de Recibido]],Tabla2[[#This Row],[Fecha de Resp]])</f>
        <v>0</v>
      </c>
      <c r="Q320" s="45">
        <f>DATE(YEAR(Tabla2[[#This Row],[Fecha de Recibido]]),MONTH(Tabla2[[#This Row],[Fecha de Recibido]]),1)</f>
        <v>45017</v>
      </c>
      <c r="R320" s="45" t="s">
        <v>63</v>
      </c>
    </row>
    <row r="321" spans="1:18" s="42" customFormat="1" ht="36.75" customHeight="1">
      <c r="A321" s="63">
        <v>45029</v>
      </c>
      <c r="B321" s="42" t="s">
        <v>30</v>
      </c>
      <c r="C321" s="42" t="s">
        <v>860</v>
      </c>
      <c r="D321" s="41">
        <v>45037</v>
      </c>
      <c r="E321" s="41">
        <v>45037</v>
      </c>
      <c r="F321" s="42" t="s">
        <v>861</v>
      </c>
      <c r="G321" s="43" t="s">
        <v>862</v>
      </c>
      <c r="H321" s="55" t="s">
        <v>805</v>
      </c>
      <c r="I321" s="43" t="s">
        <v>863</v>
      </c>
      <c r="J321" s="43" t="s">
        <v>3</v>
      </c>
      <c r="K321" s="43" t="s">
        <v>4</v>
      </c>
      <c r="L321" s="44" t="str">
        <f>IF(Tabla2[[#This Row],[Fecha de Resp]]&gt;Tabla2[[#This Row],[Fecha MAX de Resp]],"Retrasado",IF(Tabla2[[#This Row],[Fecha de Resp]]=0,"Pendiente",IF(Tabla2[[#This Row],[Fecha de Resp]]&lt;=Tabla2[[#This Row],[Fecha MAX de Resp]],"A Tiempo",0)))</f>
        <v>A Tiempo</v>
      </c>
      <c r="M321" s="44"/>
      <c r="N321" s="44"/>
      <c r="O321" s="48" t="b">
        <f>EXACT(Tabla2[[#This Row],[Fecha de Recibido]],Tabla2[[#This Row],[Fecha MAX de Resp]])</f>
        <v>0</v>
      </c>
      <c r="P321" s="48" t="b">
        <f>EXACT(Tabla2[[#This Row],[Fecha de Recibido]],Tabla2[[#This Row],[Fecha de Resp]])</f>
        <v>0</v>
      </c>
      <c r="Q321" s="45">
        <f>DATE(YEAR(Tabla2[[#This Row],[Fecha de Recibido]]),MONTH(Tabla2[[#This Row],[Fecha de Recibido]]),1)</f>
        <v>45017</v>
      </c>
      <c r="R321" s="45" t="s">
        <v>63</v>
      </c>
    </row>
    <row r="322" spans="1:18" s="42" customFormat="1" ht="36.75" customHeight="1">
      <c r="A322" s="63">
        <v>45028</v>
      </c>
      <c r="B322" s="42" t="s">
        <v>32</v>
      </c>
      <c r="C322" s="42" t="s">
        <v>864</v>
      </c>
      <c r="D322" s="41">
        <v>45069</v>
      </c>
      <c r="E322" s="41">
        <v>45069</v>
      </c>
      <c r="F322" s="42" t="s">
        <v>865</v>
      </c>
      <c r="G322" s="43" t="s">
        <v>866</v>
      </c>
      <c r="H322" s="55" t="s">
        <v>867</v>
      </c>
      <c r="I322" s="43" t="s">
        <v>868</v>
      </c>
      <c r="J322" s="43" t="s">
        <v>3</v>
      </c>
      <c r="K322" s="43" t="s">
        <v>19</v>
      </c>
      <c r="L322" s="44" t="str">
        <f>IF(Tabla2[[#This Row],[Fecha de Resp]]&gt;Tabla2[[#This Row],[Fecha MAX de Resp]],"Retrasado",IF(Tabla2[[#This Row],[Fecha de Resp]]=0,"Pendiente",IF(Tabla2[[#This Row],[Fecha de Resp]]&lt;=Tabla2[[#This Row],[Fecha MAX de Resp]],"A Tiempo",0)))</f>
        <v>A Tiempo</v>
      </c>
      <c r="M322" s="57">
        <v>45028</v>
      </c>
      <c r="N322" s="44"/>
      <c r="O322" s="48" t="b">
        <f>EXACT(Tabla2[[#This Row],[Fecha de Recibido]],Tabla2[[#This Row],[Fecha MAX de Resp]])</f>
        <v>0</v>
      </c>
      <c r="P322" s="48" t="b">
        <f>EXACT(Tabla2[[#This Row],[Fecha de Recibido]],Tabla2[[#This Row],[Fecha de Resp]])</f>
        <v>0</v>
      </c>
      <c r="Q322" s="45">
        <f>DATE(YEAR(Tabla2[[#This Row],[Fecha de Recibido]]),MONTH(Tabla2[[#This Row],[Fecha de Recibido]]),1)</f>
        <v>45017</v>
      </c>
      <c r="R322" s="45" t="s">
        <v>63</v>
      </c>
    </row>
    <row r="323" spans="1:18" s="42" customFormat="1" ht="36.75" customHeight="1">
      <c r="A323" s="63">
        <v>45028</v>
      </c>
      <c r="B323" s="42" t="s">
        <v>32</v>
      </c>
      <c r="C323" s="42" t="s">
        <v>869</v>
      </c>
      <c r="D323" s="41">
        <v>45069</v>
      </c>
      <c r="E323" s="41">
        <v>45069</v>
      </c>
      <c r="F323" s="42" t="s">
        <v>870</v>
      </c>
      <c r="G323" s="43" t="s">
        <v>871</v>
      </c>
      <c r="H323" s="43" t="s">
        <v>872</v>
      </c>
      <c r="I323" s="43" t="s">
        <v>873</v>
      </c>
      <c r="J323" s="43" t="s">
        <v>3</v>
      </c>
      <c r="K323" s="43" t="s">
        <v>19</v>
      </c>
      <c r="L323" s="44" t="str">
        <f>IF(Tabla2[[#This Row],[Fecha de Resp]]&gt;Tabla2[[#This Row],[Fecha MAX de Resp]],"Retrasado",IF(Tabla2[[#This Row],[Fecha de Resp]]=0,"Pendiente",IF(Tabla2[[#This Row],[Fecha de Resp]]&lt;=Tabla2[[#This Row],[Fecha MAX de Resp]],"A Tiempo",0)))</f>
        <v>A Tiempo</v>
      </c>
      <c r="M323" s="57">
        <v>45028</v>
      </c>
      <c r="N323" s="44"/>
      <c r="O323" s="48" t="b">
        <f>EXACT(Tabla2[[#This Row],[Fecha de Recibido]],Tabla2[[#This Row],[Fecha MAX de Resp]])</f>
        <v>0</v>
      </c>
      <c r="P323" s="48" t="b">
        <f>EXACT(Tabla2[[#This Row],[Fecha de Recibido]],Tabla2[[#This Row],[Fecha de Resp]])</f>
        <v>0</v>
      </c>
      <c r="Q323" s="45">
        <f>DATE(YEAR(Tabla2[[#This Row],[Fecha de Recibido]]),MONTH(Tabla2[[#This Row],[Fecha de Recibido]]),1)</f>
        <v>45017</v>
      </c>
      <c r="R323" s="45" t="s">
        <v>63</v>
      </c>
    </row>
    <row r="324" spans="1:18" s="42" customFormat="1" ht="36.75" customHeight="1">
      <c r="A324" s="63">
        <v>45028</v>
      </c>
      <c r="B324" s="42" t="s">
        <v>32</v>
      </c>
      <c r="C324" s="42" t="s">
        <v>874</v>
      </c>
      <c r="D324" s="41">
        <v>45069</v>
      </c>
      <c r="E324" s="41">
        <v>45069</v>
      </c>
      <c r="F324" s="42" t="s">
        <v>875</v>
      </c>
      <c r="G324" s="43" t="s">
        <v>876</v>
      </c>
      <c r="H324" s="43" t="s">
        <v>877</v>
      </c>
      <c r="I324" s="43" t="s">
        <v>878</v>
      </c>
      <c r="J324" s="43" t="s">
        <v>3</v>
      </c>
      <c r="K324" s="47" t="s">
        <v>19</v>
      </c>
      <c r="L324" s="44" t="str">
        <f>IF(Tabla2[[#This Row],[Fecha de Resp]]&gt;Tabla2[[#This Row],[Fecha MAX de Resp]],"Retrasado",IF(Tabla2[[#This Row],[Fecha de Resp]]=0,"Pendiente",IF(Tabla2[[#This Row],[Fecha de Resp]]&lt;=Tabla2[[#This Row],[Fecha MAX de Resp]],"A Tiempo",0)))</f>
        <v>A Tiempo</v>
      </c>
      <c r="M324" s="57">
        <v>45028</v>
      </c>
      <c r="N324" s="44"/>
      <c r="O324" s="48" t="b">
        <f>EXACT(Tabla2[[#This Row],[Fecha de Recibido]],Tabla2[[#This Row],[Fecha MAX de Resp]])</f>
        <v>0</v>
      </c>
      <c r="P324" s="48" t="b">
        <f>EXACT(Tabla2[[#This Row],[Fecha de Recibido]],Tabla2[[#This Row],[Fecha de Resp]])</f>
        <v>0</v>
      </c>
      <c r="Q324" s="45">
        <f>DATE(YEAR(Tabla2[[#This Row],[Fecha de Recibido]]),MONTH(Tabla2[[#This Row],[Fecha de Recibido]]),1)</f>
        <v>45017</v>
      </c>
      <c r="R324" s="45" t="s">
        <v>63</v>
      </c>
    </row>
    <row r="325" spans="1:18" s="42" customFormat="1" ht="36.75" customHeight="1">
      <c r="A325" s="63">
        <v>45026</v>
      </c>
      <c r="B325" s="42" t="s">
        <v>17</v>
      </c>
      <c r="C325" s="42" t="s">
        <v>879</v>
      </c>
      <c r="D325" s="41">
        <v>45064</v>
      </c>
      <c r="E325" s="41">
        <v>45057</v>
      </c>
      <c r="F325" s="42" t="s">
        <v>880</v>
      </c>
      <c r="G325" s="43" t="s">
        <v>881</v>
      </c>
      <c r="H325" s="43" t="s">
        <v>882</v>
      </c>
      <c r="I325" s="43" t="s">
        <v>883</v>
      </c>
      <c r="J325" s="43" t="s">
        <v>11</v>
      </c>
      <c r="K325" s="43" t="s">
        <v>21</v>
      </c>
      <c r="L325" s="44" t="str">
        <f>IF(Tabla2[[#This Row],[Fecha de Resp]]&gt;Tabla2[[#This Row],[Fecha MAX de Resp]],"Retrasado",IF(Tabla2[[#This Row],[Fecha de Resp]]=0,"Pendiente",IF(Tabla2[[#This Row],[Fecha de Resp]]&lt;=Tabla2[[#This Row],[Fecha MAX de Resp]],"A Tiempo",0)))</f>
        <v>A Tiempo</v>
      </c>
      <c r="M325" s="44"/>
      <c r="N325" s="44"/>
      <c r="O325" s="48" t="b">
        <f>EXACT(Tabla2[[#This Row],[Fecha de Recibido]],Tabla2[[#This Row],[Fecha MAX de Resp]])</f>
        <v>0</v>
      </c>
      <c r="P325" s="48" t="b">
        <f>EXACT(Tabla2[[#This Row],[Fecha de Recibido]],Tabla2[[#This Row],[Fecha de Resp]])</f>
        <v>0</v>
      </c>
      <c r="Q325" s="45">
        <f>DATE(YEAR(Tabla2[[#This Row],[Fecha de Recibido]]),MONTH(Tabla2[[#This Row],[Fecha de Recibido]]),1)</f>
        <v>45017</v>
      </c>
      <c r="R325" s="45" t="s">
        <v>63</v>
      </c>
    </row>
    <row r="326" spans="1:18" s="42" customFormat="1" ht="36.75" customHeight="1">
      <c r="A326" s="63">
        <v>45026</v>
      </c>
      <c r="B326" s="42" t="s">
        <v>32</v>
      </c>
      <c r="C326" s="42" t="s">
        <v>884</v>
      </c>
      <c r="D326" s="41">
        <v>45026</v>
      </c>
      <c r="E326" s="41">
        <v>45026</v>
      </c>
      <c r="F326" s="42" t="s">
        <v>885</v>
      </c>
      <c r="G326" s="43" t="s">
        <v>886</v>
      </c>
      <c r="H326" s="43"/>
      <c r="I326" s="43" t="s">
        <v>887</v>
      </c>
      <c r="J326" s="43" t="s">
        <v>11</v>
      </c>
      <c r="K326" s="43" t="s">
        <v>352</v>
      </c>
      <c r="L326" s="44" t="str">
        <f>IF(Tabla2[[#This Row],[Fecha de Resp]]&gt;Tabla2[[#This Row],[Fecha MAX de Resp]],"Retrasado",IF(Tabla2[[#This Row],[Fecha de Resp]]=0,"Pendiente",IF(Tabla2[[#This Row],[Fecha de Resp]]&lt;=Tabla2[[#This Row],[Fecha MAX de Resp]],"A Tiempo",0)))</f>
        <v>A Tiempo</v>
      </c>
      <c r="M326" s="44"/>
      <c r="N326" s="44"/>
      <c r="O326" s="48" t="b">
        <f>EXACT(Tabla2[[#This Row],[Fecha de Recibido]],Tabla2[[#This Row],[Fecha MAX de Resp]])</f>
        <v>1</v>
      </c>
      <c r="P326" s="48" t="b">
        <f>EXACT(Tabla2[[#This Row],[Fecha de Recibido]],Tabla2[[#This Row],[Fecha de Resp]])</f>
        <v>1</v>
      </c>
      <c r="Q326" s="45">
        <f>DATE(YEAR(Tabla2[[#This Row],[Fecha de Recibido]]),MONTH(Tabla2[[#This Row],[Fecha de Recibido]]),1)</f>
        <v>45017</v>
      </c>
      <c r="R326" s="45" t="s">
        <v>63</v>
      </c>
    </row>
    <row r="327" spans="1:18" s="42" customFormat="1" ht="36.75" customHeight="1">
      <c r="A327" s="63">
        <v>45026</v>
      </c>
      <c r="B327" s="42" t="s">
        <v>17</v>
      </c>
      <c r="C327" s="42" t="s">
        <v>888</v>
      </c>
      <c r="D327" s="41">
        <v>45042</v>
      </c>
      <c r="E327" s="41">
        <v>45042</v>
      </c>
      <c r="F327" s="42" t="s">
        <v>889</v>
      </c>
      <c r="G327" s="43" t="s">
        <v>890</v>
      </c>
      <c r="H327" s="43" t="s">
        <v>891</v>
      </c>
      <c r="I327" s="43"/>
      <c r="J327" s="43" t="s">
        <v>3</v>
      </c>
      <c r="K327" s="43" t="s">
        <v>25</v>
      </c>
      <c r="L327" s="44" t="str">
        <f>IF(Tabla2[[#This Row],[Fecha de Resp]]&gt;Tabla2[[#This Row],[Fecha MAX de Resp]],"Retrasado",IF(Tabla2[[#This Row],[Fecha de Resp]]=0,"Pendiente",IF(Tabla2[[#This Row],[Fecha de Resp]]&lt;=Tabla2[[#This Row],[Fecha MAX de Resp]],"A Tiempo",0)))</f>
        <v>A Tiempo</v>
      </c>
      <c r="M327" s="44"/>
      <c r="N327" s="44"/>
      <c r="O327" s="48" t="b">
        <f>EXACT(Tabla2[[#This Row],[Fecha de Recibido]],Tabla2[[#This Row],[Fecha MAX de Resp]])</f>
        <v>0</v>
      </c>
      <c r="P327" s="48" t="b">
        <f>EXACT(Tabla2[[#This Row],[Fecha de Recibido]],Tabla2[[#This Row],[Fecha de Resp]])</f>
        <v>0</v>
      </c>
      <c r="Q327" s="45">
        <f>DATE(YEAR(Tabla2[[#This Row],[Fecha de Recibido]]),MONTH(Tabla2[[#This Row],[Fecha de Recibido]]),1)</f>
        <v>45017</v>
      </c>
      <c r="R327" s="45" t="s">
        <v>63</v>
      </c>
    </row>
    <row r="328" spans="1:18" s="42" customFormat="1" ht="36.75" customHeight="1">
      <c r="A328" s="63">
        <v>45023</v>
      </c>
      <c r="B328" s="42" t="s">
        <v>24</v>
      </c>
      <c r="C328" s="42" t="s">
        <v>892</v>
      </c>
      <c r="D328" s="41">
        <v>45061</v>
      </c>
      <c r="E328" s="41">
        <v>45061</v>
      </c>
      <c r="F328" s="42" t="s">
        <v>893</v>
      </c>
      <c r="G328" s="43"/>
      <c r="H328" s="43" t="s">
        <v>894</v>
      </c>
      <c r="I328" s="43" t="s">
        <v>895</v>
      </c>
      <c r="J328" s="43" t="s">
        <v>3</v>
      </c>
      <c r="K328" s="43" t="s">
        <v>19</v>
      </c>
      <c r="L328" s="44" t="str">
        <f>IF(Tabla2[[#This Row],[Fecha de Resp]]&gt;Tabla2[[#This Row],[Fecha MAX de Resp]],"Retrasado",IF(Tabla2[[#This Row],[Fecha de Resp]]=0,"Pendiente",IF(Tabla2[[#This Row],[Fecha de Resp]]&lt;=Tabla2[[#This Row],[Fecha MAX de Resp]],"A Tiempo",0)))</f>
        <v>A Tiempo</v>
      </c>
      <c r="M328" s="45">
        <v>45023</v>
      </c>
      <c r="N328" s="44"/>
      <c r="O328" s="48" t="b">
        <f>EXACT(Tabla2[[#This Row],[Fecha de Recibido]],Tabla2[[#This Row],[Fecha MAX de Resp]])</f>
        <v>0</v>
      </c>
      <c r="P328" s="48" t="b">
        <f>EXACT(Tabla2[[#This Row],[Fecha de Recibido]],Tabla2[[#This Row],[Fecha de Resp]])</f>
        <v>0</v>
      </c>
      <c r="Q328" s="45">
        <f>DATE(YEAR(Tabla2[[#This Row],[Fecha de Recibido]]),MONTH(Tabla2[[#This Row],[Fecha de Recibido]]),1)</f>
        <v>45017</v>
      </c>
      <c r="R328" s="45" t="s">
        <v>63</v>
      </c>
    </row>
    <row r="329" spans="1:18" s="42" customFormat="1" ht="36.75" customHeight="1">
      <c r="A329" s="63">
        <v>45014</v>
      </c>
      <c r="B329" s="42" t="s">
        <v>32</v>
      </c>
      <c r="C329" s="42" t="s">
        <v>896</v>
      </c>
      <c r="D329" s="41">
        <v>45021</v>
      </c>
      <c r="E329" s="41">
        <v>45021</v>
      </c>
      <c r="F329" s="42" t="s">
        <v>897</v>
      </c>
      <c r="G329" s="43" t="s">
        <v>898</v>
      </c>
      <c r="H329" s="43" t="s">
        <v>899</v>
      </c>
      <c r="I329" s="43"/>
      <c r="J329" s="43" t="s">
        <v>11</v>
      </c>
      <c r="K329" s="43" t="s">
        <v>19</v>
      </c>
      <c r="L329" s="44" t="str">
        <f>IF(Tabla2[[#This Row],[Fecha de Resp]]&gt;Tabla2[[#This Row],[Fecha MAX de Resp]],"Retrasado",IF(Tabla2[[#This Row],[Fecha de Resp]]=0,"Pendiente",IF(Tabla2[[#This Row],[Fecha de Resp]]&lt;=Tabla2[[#This Row],[Fecha MAX de Resp]],"A Tiempo",0)))</f>
        <v>A Tiempo</v>
      </c>
      <c r="M329" s="44"/>
      <c r="N329" s="44"/>
      <c r="O329" s="48" t="b">
        <f>EXACT(Tabla2[[#This Row],[Fecha de Recibido]],Tabla2[[#This Row],[Fecha MAX de Resp]])</f>
        <v>0</v>
      </c>
      <c r="P329" s="48" t="b">
        <f>EXACT(Tabla2[[#This Row],[Fecha de Recibido]],Tabla2[[#This Row],[Fecha de Resp]])</f>
        <v>0</v>
      </c>
      <c r="Q329" s="45">
        <f>DATE(YEAR(Tabla2[[#This Row],[Fecha de Recibido]]),MONTH(Tabla2[[#This Row],[Fecha de Recibido]]),1)</f>
        <v>44986</v>
      </c>
      <c r="R329" s="45" t="s">
        <v>63</v>
      </c>
    </row>
    <row r="330" spans="1:18" s="42" customFormat="1" ht="36.75" customHeight="1">
      <c r="A330" s="63">
        <v>45013</v>
      </c>
      <c r="B330" s="42" t="s">
        <v>26</v>
      </c>
      <c r="C330" s="42" t="s">
        <v>900</v>
      </c>
      <c r="D330" s="41">
        <v>45020</v>
      </c>
      <c r="E330" s="41">
        <v>45020</v>
      </c>
      <c r="F330" s="42" t="s">
        <v>901</v>
      </c>
      <c r="G330" s="43" t="s">
        <v>902</v>
      </c>
      <c r="H330" s="43"/>
      <c r="I330" s="43" t="s">
        <v>903</v>
      </c>
      <c r="J330" s="43" t="s">
        <v>3</v>
      </c>
      <c r="K330" s="43" t="s">
        <v>534</v>
      </c>
      <c r="L330" s="44" t="str">
        <f>IF(Tabla2[[#This Row],[Fecha de Resp]]&gt;Tabla2[[#This Row],[Fecha MAX de Resp]],"Retrasado",IF(Tabla2[[#This Row],[Fecha de Resp]]=0,"Pendiente",IF(Tabla2[[#This Row],[Fecha de Resp]]&lt;=Tabla2[[#This Row],[Fecha MAX de Resp]],"A Tiempo",0)))</f>
        <v>A Tiempo</v>
      </c>
      <c r="M330" s="44"/>
      <c r="N330" s="44"/>
      <c r="O330" s="48" t="b">
        <f>EXACT(Tabla2[[#This Row],[Fecha de Recibido]],Tabla2[[#This Row],[Fecha MAX de Resp]])</f>
        <v>0</v>
      </c>
      <c r="P330" s="48" t="b">
        <f>EXACT(Tabla2[[#This Row],[Fecha de Recibido]],Tabla2[[#This Row],[Fecha de Resp]])</f>
        <v>0</v>
      </c>
      <c r="Q330" s="45">
        <f>DATE(YEAR(Tabla2[[#This Row],[Fecha de Recibido]]),MONTH(Tabla2[[#This Row],[Fecha de Recibido]]),1)</f>
        <v>44986</v>
      </c>
      <c r="R330" s="45" t="s">
        <v>63</v>
      </c>
    </row>
    <row r="331" spans="1:18" s="42" customFormat="1" ht="36.75" customHeight="1">
      <c r="A331" s="63">
        <v>45012</v>
      </c>
      <c r="B331" s="42" t="s">
        <v>36</v>
      </c>
      <c r="C331" s="42" t="s">
        <v>904</v>
      </c>
      <c r="D331" s="41">
        <v>45019</v>
      </c>
      <c r="E331" s="41">
        <v>45019</v>
      </c>
      <c r="F331" s="42" t="s">
        <v>905</v>
      </c>
      <c r="G331" s="43"/>
      <c r="H331" s="43" t="s">
        <v>906</v>
      </c>
      <c r="I331" s="43" t="s">
        <v>907</v>
      </c>
      <c r="J331" s="43" t="s">
        <v>3</v>
      </c>
      <c r="K331" s="43" t="s">
        <v>404</v>
      </c>
      <c r="L331" s="44" t="str">
        <f>IF(Tabla2[[#This Row],[Fecha de Resp]]&gt;Tabla2[[#This Row],[Fecha MAX de Resp]],"Retrasado",IF(Tabla2[[#This Row],[Fecha de Resp]]=0,"Pendiente",IF(Tabla2[[#This Row],[Fecha de Resp]]&lt;=Tabla2[[#This Row],[Fecha MAX de Resp]],"A Tiempo",0)))</f>
        <v>A Tiempo</v>
      </c>
      <c r="M331" s="44"/>
      <c r="N331" s="44"/>
      <c r="O331" s="48" t="b">
        <f>EXACT(Tabla2[[#This Row],[Fecha de Recibido]],Tabla2[[#This Row],[Fecha MAX de Resp]])</f>
        <v>0</v>
      </c>
      <c r="P331" s="48" t="b">
        <f>EXACT(Tabla2[[#This Row],[Fecha de Recibido]],Tabla2[[#This Row],[Fecha de Resp]])</f>
        <v>0</v>
      </c>
      <c r="Q331" s="45">
        <f>DATE(YEAR(Tabla2[[#This Row],[Fecha de Recibido]]),MONTH(Tabla2[[#This Row],[Fecha de Recibido]]),1)</f>
        <v>44986</v>
      </c>
      <c r="R331" s="45" t="s">
        <v>63</v>
      </c>
    </row>
    <row r="332" spans="1:18" s="42" customFormat="1" ht="36.75" customHeight="1">
      <c r="A332" s="63">
        <v>45007</v>
      </c>
      <c r="B332" s="42" t="s">
        <v>17</v>
      </c>
      <c r="C332" s="42" t="s">
        <v>908</v>
      </c>
      <c r="D332" s="41">
        <v>45012</v>
      </c>
      <c r="E332" s="41">
        <v>45012</v>
      </c>
      <c r="F332" s="42" t="s">
        <v>909</v>
      </c>
      <c r="G332" s="43" t="s">
        <v>910</v>
      </c>
      <c r="H332" s="43"/>
      <c r="I332" s="43"/>
      <c r="J332" s="43" t="s">
        <v>11</v>
      </c>
      <c r="K332" s="43" t="s">
        <v>4</v>
      </c>
      <c r="L332" s="44" t="str">
        <f>IF(Tabla2[[#This Row],[Fecha de Resp]]&gt;Tabla2[[#This Row],[Fecha MAX de Resp]],"Retrasado",IF(Tabla2[[#This Row],[Fecha de Resp]]=0,"Pendiente",IF(Tabla2[[#This Row],[Fecha de Resp]]&lt;=Tabla2[[#This Row],[Fecha MAX de Resp]],"A Tiempo",0)))</f>
        <v>A Tiempo</v>
      </c>
      <c r="M332" s="44"/>
      <c r="N332" s="44"/>
      <c r="O332" s="48" t="b">
        <f>EXACT(Tabla2[[#This Row],[Fecha de Recibido]],Tabla2[[#This Row],[Fecha MAX de Resp]])</f>
        <v>0</v>
      </c>
      <c r="P332" s="48" t="b">
        <f>EXACT(Tabla2[[#This Row],[Fecha de Recibido]],Tabla2[[#This Row],[Fecha de Resp]])</f>
        <v>0</v>
      </c>
      <c r="Q332" s="45">
        <f>DATE(YEAR(Tabla2[[#This Row],[Fecha de Recibido]]),MONTH(Tabla2[[#This Row],[Fecha de Recibido]]),1)</f>
        <v>44986</v>
      </c>
      <c r="R332" s="45" t="s">
        <v>63</v>
      </c>
    </row>
    <row r="333" spans="1:18" s="42" customFormat="1" ht="36.75" customHeight="1">
      <c r="A333" s="63">
        <v>45007</v>
      </c>
      <c r="B333" s="42" t="s">
        <v>17</v>
      </c>
      <c r="C333" s="42" t="s">
        <v>911</v>
      </c>
      <c r="D333" s="41">
        <v>45021</v>
      </c>
      <c r="E333" s="41">
        <v>45021</v>
      </c>
      <c r="F333" s="42" t="s">
        <v>912</v>
      </c>
      <c r="G333" s="43" t="s">
        <v>913</v>
      </c>
      <c r="H333" s="43" t="s">
        <v>914</v>
      </c>
      <c r="I333" s="43"/>
      <c r="J333" s="43" t="s">
        <v>3</v>
      </c>
      <c r="K333" s="43" t="s">
        <v>19</v>
      </c>
      <c r="L333" s="44" t="str">
        <f>IF(Tabla2[[#This Row],[Fecha de Resp]]&gt;Tabla2[[#This Row],[Fecha MAX de Resp]],"Retrasado",IF(Tabla2[[#This Row],[Fecha de Resp]]=0,"Pendiente",IF(Tabla2[[#This Row],[Fecha de Resp]]&lt;=Tabla2[[#This Row],[Fecha MAX de Resp]],"A Tiempo",0)))</f>
        <v>A Tiempo</v>
      </c>
      <c r="M333" s="44"/>
      <c r="N333" s="44"/>
      <c r="O333" s="48" t="b">
        <f>EXACT(Tabla2[[#This Row],[Fecha de Recibido]],Tabla2[[#This Row],[Fecha MAX de Resp]])</f>
        <v>0</v>
      </c>
      <c r="P333" s="48" t="b">
        <f>EXACT(Tabla2[[#This Row],[Fecha de Recibido]],Tabla2[[#This Row],[Fecha de Resp]])</f>
        <v>0</v>
      </c>
      <c r="Q333" s="45">
        <f>DATE(YEAR(Tabla2[[#This Row],[Fecha de Recibido]]),MONTH(Tabla2[[#This Row],[Fecha de Recibido]]),1)</f>
        <v>44986</v>
      </c>
      <c r="R333" s="45" t="s">
        <v>63</v>
      </c>
    </row>
    <row r="334" spans="1:18" s="42" customFormat="1" ht="36.75" customHeight="1">
      <c r="A334" s="63">
        <v>44999</v>
      </c>
      <c r="B334" s="42" t="s">
        <v>17</v>
      </c>
      <c r="C334" s="42" t="s">
        <v>915</v>
      </c>
      <c r="D334" s="60">
        <v>45006</v>
      </c>
      <c r="E334" s="60">
        <v>44999</v>
      </c>
      <c r="G334" s="43" t="s">
        <v>916</v>
      </c>
      <c r="H334" s="43"/>
      <c r="I334" s="43"/>
      <c r="J334" s="43" t="s">
        <v>3</v>
      </c>
      <c r="K334" s="43" t="s">
        <v>4</v>
      </c>
      <c r="L334" s="44" t="str">
        <f>IF(Tabla2[[#This Row],[Fecha de Resp]]&gt;Tabla2[[#This Row],[Fecha MAX de Resp]],"Retrasado",IF(Tabla2[[#This Row],[Fecha de Resp]]=0,"Pendiente",IF(Tabla2[[#This Row],[Fecha de Resp]]&lt;=Tabla2[[#This Row],[Fecha MAX de Resp]],"A Tiempo",0)))</f>
        <v>A Tiempo</v>
      </c>
      <c r="M334" s="43"/>
      <c r="N334" s="44"/>
      <c r="O334" s="48" t="b">
        <f>EXACT(Tabla2[[#This Row],[Fecha de Recibido]],Tabla2[[#This Row],[Fecha MAX de Resp]])</f>
        <v>0</v>
      </c>
      <c r="P334" s="48" t="b">
        <f>EXACT(Tabla2[[#This Row],[Fecha de Recibido]],Tabla2[[#This Row],[Fecha de Resp]])</f>
        <v>1</v>
      </c>
      <c r="Q334" s="45">
        <f>DATE(YEAR(Tabla2[[#This Row],[Fecha de Recibido]]),MONTH(Tabla2[[#This Row],[Fecha de Recibido]]),1)</f>
        <v>44986</v>
      </c>
      <c r="R334" s="45" t="s">
        <v>63</v>
      </c>
    </row>
    <row r="335" spans="1:18" s="42" customFormat="1" ht="36.75" customHeight="1">
      <c r="A335" s="63">
        <v>44999</v>
      </c>
      <c r="B335" s="42" t="s">
        <v>17</v>
      </c>
      <c r="C335" s="42" t="s">
        <v>915</v>
      </c>
      <c r="D335" s="60">
        <v>45006</v>
      </c>
      <c r="E335" s="60">
        <v>44999</v>
      </c>
      <c r="G335" s="43" t="s">
        <v>917</v>
      </c>
      <c r="H335" s="43"/>
      <c r="I335" s="43"/>
      <c r="J335" s="43" t="s">
        <v>3</v>
      </c>
      <c r="K335" s="43" t="s">
        <v>4</v>
      </c>
      <c r="L335" s="44" t="str">
        <f>IF(Tabla2[[#This Row],[Fecha de Resp]]&gt;Tabla2[[#This Row],[Fecha MAX de Resp]],"Retrasado",IF(Tabla2[[#This Row],[Fecha de Resp]]=0,"Pendiente",IF(Tabla2[[#This Row],[Fecha de Resp]]&lt;=Tabla2[[#This Row],[Fecha MAX de Resp]],"A Tiempo",0)))</f>
        <v>A Tiempo</v>
      </c>
      <c r="M335" s="43"/>
      <c r="N335" s="44"/>
      <c r="O335" s="48" t="b">
        <f>EXACT(Tabla2[[#This Row],[Fecha de Recibido]],Tabla2[[#This Row],[Fecha MAX de Resp]])</f>
        <v>0</v>
      </c>
      <c r="P335" s="48" t="b">
        <f>EXACT(Tabla2[[#This Row],[Fecha de Recibido]],Tabla2[[#This Row],[Fecha de Resp]])</f>
        <v>1</v>
      </c>
      <c r="Q335" s="45">
        <f>DATE(YEAR(Tabla2[[#This Row],[Fecha de Recibido]]),MONTH(Tabla2[[#This Row],[Fecha de Recibido]]),1)</f>
        <v>44986</v>
      </c>
      <c r="R335" s="45" t="s">
        <v>63</v>
      </c>
    </row>
    <row r="336" spans="1:18" s="42" customFormat="1" ht="36.75" customHeight="1">
      <c r="A336" s="63">
        <v>44999</v>
      </c>
      <c r="B336" s="42" t="s">
        <v>743</v>
      </c>
      <c r="C336" s="42" t="s">
        <v>918</v>
      </c>
      <c r="D336" s="41">
        <v>45023</v>
      </c>
      <c r="E336" s="41">
        <v>45013</v>
      </c>
      <c r="F336" s="42" t="s">
        <v>919</v>
      </c>
      <c r="G336" s="43" t="s">
        <v>920</v>
      </c>
      <c r="H336" s="43"/>
      <c r="I336" s="43"/>
      <c r="J336" s="43" t="s">
        <v>3</v>
      </c>
      <c r="K336" s="43" t="s">
        <v>9</v>
      </c>
      <c r="L336" s="44" t="str">
        <f>IF(Tabla2[[#This Row],[Fecha de Resp]]&gt;Tabla2[[#This Row],[Fecha MAX de Resp]],"Retrasado",IF(Tabla2[[#This Row],[Fecha de Resp]]=0,"Pendiente",IF(Tabla2[[#This Row],[Fecha de Resp]]&lt;=Tabla2[[#This Row],[Fecha MAX de Resp]],"A Tiempo",0)))</f>
        <v>A Tiempo</v>
      </c>
      <c r="M336" s="44"/>
      <c r="N336" s="44"/>
      <c r="O336" s="48" t="b">
        <f>EXACT(Tabla2[[#This Row],[Fecha de Recibido]],Tabla2[[#This Row],[Fecha MAX de Resp]])</f>
        <v>0</v>
      </c>
      <c r="P336" s="48" t="b">
        <f>EXACT(Tabla2[[#This Row],[Fecha de Recibido]],Tabla2[[#This Row],[Fecha de Resp]])</f>
        <v>0</v>
      </c>
      <c r="Q336" s="45">
        <f>DATE(YEAR(Tabla2[[#This Row],[Fecha de Recibido]]),MONTH(Tabla2[[#This Row],[Fecha de Recibido]]),1)</f>
        <v>44986</v>
      </c>
      <c r="R336" s="45" t="s">
        <v>63</v>
      </c>
    </row>
    <row r="337" spans="1:18" s="42" customFormat="1" ht="36.75" customHeight="1">
      <c r="A337" s="63">
        <v>44998</v>
      </c>
      <c r="B337" s="42" t="s">
        <v>17</v>
      </c>
      <c r="C337" s="42" t="s">
        <v>921</v>
      </c>
      <c r="D337" s="41">
        <v>44998</v>
      </c>
      <c r="E337" s="41">
        <v>44998</v>
      </c>
      <c r="F337" s="42" t="s">
        <v>922</v>
      </c>
      <c r="G337" s="43" t="s">
        <v>923</v>
      </c>
      <c r="H337" s="43"/>
      <c r="I337" s="43" t="s">
        <v>924</v>
      </c>
      <c r="J337" s="43" t="s">
        <v>3</v>
      </c>
      <c r="K337" s="43" t="s">
        <v>352</v>
      </c>
      <c r="L337" s="44" t="str">
        <f>IF(Tabla2[[#This Row],[Fecha de Resp]]&gt;Tabla2[[#This Row],[Fecha MAX de Resp]],"Retrasado",IF(Tabla2[[#This Row],[Fecha de Resp]]=0,"Pendiente",IF(Tabla2[[#This Row],[Fecha de Resp]]&lt;=Tabla2[[#This Row],[Fecha MAX de Resp]],"A Tiempo",0)))</f>
        <v>A Tiempo</v>
      </c>
      <c r="M337" s="44"/>
      <c r="N337" s="44"/>
      <c r="O337" s="48" t="b">
        <f>EXACT(Tabla2[[#This Row],[Fecha de Recibido]],Tabla2[[#This Row],[Fecha MAX de Resp]])</f>
        <v>1</v>
      </c>
      <c r="P337" s="48" t="b">
        <f>EXACT(Tabla2[[#This Row],[Fecha de Recibido]],Tabla2[[#This Row],[Fecha de Resp]])</f>
        <v>1</v>
      </c>
      <c r="Q337" s="45">
        <f>DATE(YEAR(Tabla2[[#This Row],[Fecha de Recibido]]),MONTH(Tabla2[[#This Row],[Fecha de Recibido]]),1)</f>
        <v>44986</v>
      </c>
      <c r="R337" s="45" t="s">
        <v>63</v>
      </c>
    </row>
    <row r="338" spans="1:18" s="42" customFormat="1" ht="36.75" customHeight="1">
      <c r="A338" s="63">
        <v>44991</v>
      </c>
      <c r="B338" s="42" t="s">
        <v>17</v>
      </c>
      <c r="C338" s="42" t="s">
        <v>925</v>
      </c>
      <c r="D338" s="41">
        <v>44998</v>
      </c>
      <c r="E338" s="41">
        <v>44998</v>
      </c>
      <c r="F338" s="41" t="s">
        <v>926</v>
      </c>
      <c r="G338" s="43"/>
      <c r="H338" s="43" t="s">
        <v>927</v>
      </c>
      <c r="I338" s="43"/>
      <c r="J338" s="43" t="s">
        <v>3</v>
      </c>
      <c r="K338" s="43" t="s">
        <v>4</v>
      </c>
      <c r="L338" s="44" t="str">
        <f>IF(Tabla2[[#This Row],[Fecha de Resp]]&gt;Tabla2[[#This Row],[Fecha MAX de Resp]],"Retrasado",IF(Tabla2[[#This Row],[Fecha de Resp]]=0,"Pendiente",IF(Tabla2[[#This Row],[Fecha de Resp]]&lt;=Tabla2[[#This Row],[Fecha MAX de Resp]],"A Tiempo",0)))</f>
        <v>A Tiempo</v>
      </c>
      <c r="M338" s="44"/>
      <c r="N338" s="44"/>
      <c r="O338" s="48" t="b">
        <f>EXACT(Tabla2[[#This Row],[Fecha de Recibido]],Tabla2[[#This Row],[Fecha MAX de Resp]])</f>
        <v>0</v>
      </c>
      <c r="P338" s="48" t="b">
        <f>EXACT(Tabla2[[#This Row],[Fecha de Recibido]],Tabla2[[#This Row],[Fecha de Resp]])</f>
        <v>0</v>
      </c>
      <c r="Q338" s="45">
        <f>DATE(YEAR(Tabla2[[#This Row],[Fecha de Recibido]]),MONTH(Tabla2[[#This Row],[Fecha de Recibido]]),1)</f>
        <v>44986</v>
      </c>
      <c r="R338" s="45" t="s">
        <v>63</v>
      </c>
    </row>
    <row r="339" spans="1:18" s="53" customFormat="1" ht="36.75" customHeight="1">
      <c r="A339" s="63">
        <v>44988</v>
      </c>
      <c r="B339" s="42" t="s">
        <v>17</v>
      </c>
      <c r="C339" s="42" t="s">
        <v>928</v>
      </c>
      <c r="D339" s="41">
        <v>45002</v>
      </c>
      <c r="E339" s="41">
        <v>45002</v>
      </c>
      <c r="F339" s="42" t="s">
        <v>929</v>
      </c>
      <c r="G339" s="43"/>
      <c r="H339" s="43" t="s">
        <v>930</v>
      </c>
      <c r="I339" s="43"/>
      <c r="J339" s="43" t="s">
        <v>3</v>
      </c>
      <c r="K339" s="43" t="s">
        <v>19</v>
      </c>
      <c r="L339" s="44" t="str">
        <f>IF(Tabla2[[#This Row],[Fecha de Resp]]&gt;Tabla2[[#This Row],[Fecha MAX de Resp]],"Retrasado",IF(Tabla2[[#This Row],[Fecha de Resp]]=0,"Pendiente",IF(Tabla2[[#This Row],[Fecha de Resp]]&lt;=Tabla2[[#This Row],[Fecha MAX de Resp]],"A Tiempo",0)))</f>
        <v>A Tiempo</v>
      </c>
      <c r="M339" s="44"/>
      <c r="N339" s="44"/>
      <c r="O339" s="48" t="b">
        <f>EXACT(Tabla2[[#This Row],[Fecha de Recibido]],Tabla2[[#This Row],[Fecha MAX de Resp]])</f>
        <v>0</v>
      </c>
      <c r="P339" s="48" t="b">
        <f>EXACT(Tabla2[[#This Row],[Fecha de Recibido]],Tabla2[[#This Row],[Fecha de Resp]])</f>
        <v>0</v>
      </c>
      <c r="Q339" s="45">
        <f>DATE(YEAR(Tabla2[[#This Row],[Fecha de Recibido]]),MONTH(Tabla2[[#This Row],[Fecha de Recibido]]),1)</f>
        <v>44986</v>
      </c>
      <c r="R339" s="45" t="s">
        <v>63</v>
      </c>
    </row>
    <row r="340" spans="1:18" s="42" customFormat="1" ht="36.75" customHeight="1">
      <c r="A340" s="63">
        <v>44988</v>
      </c>
      <c r="B340" s="42" t="s">
        <v>17</v>
      </c>
      <c r="C340" s="42" t="s">
        <v>931</v>
      </c>
      <c r="D340" s="41">
        <v>45002</v>
      </c>
      <c r="E340" s="41">
        <v>45002</v>
      </c>
      <c r="F340" s="42" t="s">
        <v>932</v>
      </c>
      <c r="G340" s="43"/>
      <c r="H340" s="43" t="s">
        <v>933</v>
      </c>
      <c r="I340" s="43"/>
      <c r="J340" s="43" t="s">
        <v>14</v>
      </c>
      <c r="K340" s="43" t="s">
        <v>19</v>
      </c>
      <c r="L340" s="44" t="str">
        <f>IF(Tabla2[[#This Row],[Fecha de Resp]]&gt;Tabla2[[#This Row],[Fecha MAX de Resp]],"Retrasado",IF(Tabla2[[#This Row],[Fecha de Resp]]=0,"Pendiente",IF(Tabla2[[#This Row],[Fecha de Resp]]&lt;=Tabla2[[#This Row],[Fecha MAX de Resp]],"A Tiempo",0)))</f>
        <v>A Tiempo</v>
      </c>
      <c r="M340" s="44"/>
      <c r="N340" s="44"/>
      <c r="O340" s="48" t="b">
        <f>EXACT(Tabla2[[#This Row],[Fecha de Recibido]],Tabla2[[#This Row],[Fecha MAX de Resp]])</f>
        <v>0</v>
      </c>
      <c r="P340" s="48" t="b">
        <f>EXACT(Tabla2[[#This Row],[Fecha de Recibido]],Tabla2[[#This Row],[Fecha de Resp]])</f>
        <v>0</v>
      </c>
      <c r="Q340" s="45">
        <f>DATE(YEAR(Tabla2[[#This Row],[Fecha de Recibido]]),MONTH(Tabla2[[#This Row],[Fecha de Recibido]]),1)</f>
        <v>44986</v>
      </c>
      <c r="R340" s="45" t="s">
        <v>63</v>
      </c>
    </row>
    <row r="341" spans="1:18" s="42" customFormat="1" ht="36.75" customHeight="1">
      <c r="A341" s="63">
        <v>44988</v>
      </c>
      <c r="B341" s="42" t="s">
        <v>17</v>
      </c>
      <c r="C341" s="42" t="s">
        <v>931</v>
      </c>
      <c r="D341" s="41">
        <v>45002</v>
      </c>
      <c r="E341" s="41">
        <v>45002</v>
      </c>
      <c r="F341" s="42" t="s">
        <v>934</v>
      </c>
      <c r="G341" s="43"/>
      <c r="H341" s="43" t="s">
        <v>935</v>
      </c>
      <c r="I341" s="43"/>
      <c r="J341" s="43" t="s">
        <v>11</v>
      </c>
      <c r="K341" s="43" t="s">
        <v>19</v>
      </c>
      <c r="L341" s="44" t="str">
        <f>IF(Tabla2[[#This Row],[Fecha de Resp]]&gt;Tabla2[[#This Row],[Fecha MAX de Resp]],"Retrasado",IF(Tabla2[[#This Row],[Fecha de Resp]]=0,"Pendiente",IF(Tabla2[[#This Row],[Fecha de Resp]]&lt;=Tabla2[[#This Row],[Fecha MAX de Resp]],"A Tiempo",0)))</f>
        <v>A Tiempo</v>
      </c>
      <c r="M341" s="44"/>
      <c r="N341" s="44"/>
      <c r="O341" s="48" t="b">
        <f>EXACT(Tabla2[[#This Row],[Fecha de Recibido]],Tabla2[[#This Row],[Fecha MAX de Resp]])</f>
        <v>0</v>
      </c>
      <c r="P341" s="48" t="b">
        <f>EXACT(Tabla2[[#This Row],[Fecha de Recibido]],Tabla2[[#This Row],[Fecha de Resp]])</f>
        <v>0</v>
      </c>
      <c r="Q341" s="45">
        <f>DATE(YEAR(Tabla2[[#This Row],[Fecha de Recibido]]),MONTH(Tabla2[[#This Row],[Fecha de Recibido]]),1)</f>
        <v>44986</v>
      </c>
      <c r="R341" s="45" t="s">
        <v>63</v>
      </c>
    </row>
    <row r="342" spans="1:18" s="42" customFormat="1" ht="36.75" customHeight="1">
      <c r="A342" s="63">
        <v>44988</v>
      </c>
      <c r="B342" s="42" t="s">
        <v>17</v>
      </c>
      <c r="C342" s="42" t="s">
        <v>931</v>
      </c>
      <c r="D342" s="41">
        <v>45002</v>
      </c>
      <c r="E342" s="41">
        <v>45002</v>
      </c>
      <c r="F342" s="42" t="s">
        <v>929</v>
      </c>
      <c r="G342" s="43"/>
      <c r="H342" s="43" t="s">
        <v>936</v>
      </c>
      <c r="I342" s="43"/>
      <c r="J342" s="43" t="s">
        <v>8</v>
      </c>
      <c r="K342" s="43" t="s">
        <v>19</v>
      </c>
      <c r="L342" s="44" t="str">
        <f>IF(Tabla2[[#This Row],[Fecha de Resp]]&gt;Tabla2[[#This Row],[Fecha MAX de Resp]],"Retrasado",IF(Tabla2[[#This Row],[Fecha de Resp]]=0,"Pendiente",IF(Tabla2[[#This Row],[Fecha de Resp]]&lt;=Tabla2[[#This Row],[Fecha MAX de Resp]],"A Tiempo",0)))</f>
        <v>A Tiempo</v>
      </c>
      <c r="M342" s="44"/>
      <c r="N342" s="44"/>
      <c r="O342" s="48" t="b">
        <f>EXACT(Tabla2[[#This Row],[Fecha de Recibido]],Tabla2[[#This Row],[Fecha MAX de Resp]])</f>
        <v>0</v>
      </c>
      <c r="P342" s="48" t="b">
        <f>EXACT(Tabla2[[#This Row],[Fecha de Recibido]],Tabla2[[#This Row],[Fecha de Resp]])</f>
        <v>0</v>
      </c>
      <c r="Q342" s="45">
        <f>DATE(YEAR(Tabla2[[#This Row],[Fecha de Recibido]]),MONTH(Tabla2[[#This Row],[Fecha de Recibido]]),1)</f>
        <v>44986</v>
      </c>
      <c r="R342" s="45" t="s">
        <v>63</v>
      </c>
    </row>
    <row r="343" spans="1:18" s="42" customFormat="1" ht="36.75" customHeight="1">
      <c r="A343" s="63">
        <v>44988</v>
      </c>
      <c r="B343" s="42" t="s">
        <v>17</v>
      </c>
      <c r="C343" s="42" t="s">
        <v>937</v>
      </c>
      <c r="D343" s="41">
        <v>45002</v>
      </c>
      <c r="E343" s="41">
        <v>44988</v>
      </c>
      <c r="F343" s="42" t="s">
        <v>938</v>
      </c>
      <c r="G343" s="43" t="s">
        <v>939</v>
      </c>
      <c r="H343" s="43" t="s">
        <v>940</v>
      </c>
      <c r="I343" s="43" t="s">
        <v>941</v>
      </c>
      <c r="J343" s="43" t="s">
        <v>8</v>
      </c>
      <c r="K343" s="43" t="s">
        <v>19</v>
      </c>
      <c r="L343" s="44" t="str">
        <f>IF(Tabla2[[#This Row],[Fecha de Resp]]&gt;Tabla2[[#This Row],[Fecha MAX de Resp]],"Retrasado",IF(Tabla2[[#This Row],[Fecha de Resp]]=0,"Pendiente",IF(Tabla2[[#This Row],[Fecha de Resp]]&lt;=Tabla2[[#This Row],[Fecha MAX de Resp]],"A Tiempo",0)))</f>
        <v>A Tiempo</v>
      </c>
      <c r="M343" s="44"/>
      <c r="N343" s="44">
        <v>20232310850381</v>
      </c>
      <c r="O343" s="48" t="b">
        <f>EXACT(Tabla2[[#This Row],[Fecha de Recibido]],Tabla2[[#This Row],[Fecha MAX de Resp]])</f>
        <v>0</v>
      </c>
      <c r="P343" s="48" t="b">
        <f>EXACT(Tabla2[[#This Row],[Fecha de Recibido]],Tabla2[[#This Row],[Fecha de Resp]])</f>
        <v>1</v>
      </c>
      <c r="Q343" s="45">
        <f>DATE(YEAR(Tabla2[[#This Row],[Fecha de Recibido]]),MONTH(Tabla2[[#This Row],[Fecha de Recibido]]),1)</f>
        <v>44986</v>
      </c>
      <c r="R343" s="45" t="s">
        <v>63</v>
      </c>
    </row>
    <row r="344" spans="1:18" s="42" customFormat="1" ht="36.75" customHeight="1">
      <c r="A344" s="63">
        <v>44977</v>
      </c>
      <c r="B344" s="42" t="s">
        <v>30</v>
      </c>
      <c r="C344" s="42" t="s">
        <v>942</v>
      </c>
      <c r="D344" s="58">
        <v>44977</v>
      </c>
      <c r="E344" s="58">
        <v>44977</v>
      </c>
      <c r="G344" s="43" t="s">
        <v>943</v>
      </c>
      <c r="H344" s="48"/>
      <c r="I344" s="48"/>
      <c r="J344" s="48" t="s">
        <v>14</v>
      </c>
      <c r="K344" s="43" t="s">
        <v>352</v>
      </c>
      <c r="L344" s="44" t="str">
        <f>IF(Tabla2[[#This Row],[Fecha de Resp]]&gt;Tabla2[[#This Row],[Fecha MAX de Resp]],"Retrasado",IF(Tabla2[[#This Row],[Fecha de Resp]]=0,"Pendiente",IF(Tabla2[[#This Row],[Fecha de Resp]]&lt;=Tabla2[[#This Row],[Fecha MAX de Resp]],"A Tiempo",0)))</f>
        <v>A Tiempo</v>
      </c>
      <c r="M344" s="45">
        <v>45201</v>
      </c>
      <c r="N344" s="44" t="s">
        <v>944</v>
      </c>
      <c r="O344" s="48" t="b">
        <f>EXACT(Tabla2[[#This Row],[Fecha de Recibido]],Tabla2[[#This Row],[Fecha MAX de Resp]])</f>
        <v>1</v>
      </c>
      <c r="P344" s="48" t="b">
        <f>EXACT(Tabla2[[#This Row],[Fecha de Recibido]],Tabla2[[#This Row],[Fecha de Resp]])</f>
        <v>1</v>
      </c>
      <c r="Q344" s="45">
        <f>DATE(YEAR(Tabla2[[#This Row],[Fecha de Recibido]]),MONTH(Tabla2[[#This Row],[Fecha de Recibido]]),1)</f>
        <v>44958</v>
      </c>
      <c r="R344" s="45" t="s">
        <v>63</v>
      </c>
    </row>
    <row r="345" spans="1:18" s="42" customFormat="1" ht="36.75" customHeight="1">
      <c r="A345" s="63">
        <v>44977</v>
      </c>
      <c r="B345" s="42" t="s">
        <v>32</v>
      </c>
      <c r="C345" s="42" t="s">
        <v>945</v>
      </c>
      <c r="D345" s="41">
        <v>45208</v>
      </c>
      <c r="E345" s="41">
        <v>45208</v>
      </c>
      <c r="G345" s="43" t="s">
        <v>946</v>
      </c>
      <c r="H345" s="43"/>
      <c r="I345" s="43" t="s">
        <v>947</v>
      </c>
      <c r="J345" s="43" t="s">
        <v>3</v>
      </c>
      <c r="K345" s="43" t="s">
        <v>360</v>
      </c>
      <c r="L345" s="44" t="str">
        <f>IF(Tabla2[[#This Row],[Fecha de Resp]]&gt;Tabla2[[#This Row],[Fecha MAX de Resp]],"Retrasado",IF(Tabla2[[#This Row],[Fecha de Resp]]=0,"Pendiente",IF(Tabla2[[#This Row],[Fecha de Resp]]&lt;=Tabla2[[#This Row],[Fecha MAX de Resp]],"A Tiempo",0)))</f>
        <v>A Tiempo</v>
      </c>
      <c r="M345" s="48"/>
      <c r="N345" s="44"/>
      <c r="O345" s="48" t="b">
        <f>EXACT(Tabla2[[#This Row],[Fecha de Recibido]],Tabla2[[#This Row],[Fecha MAX de Resp]])</f>
        <v>0</v>
      </c>
      <c r="P345" s="48" t="b">
        <f>EXACT(Tabla2[[#This Row],[Fecha de Recibido]],Tabla2[[#This Row],[Fecha de Resp]])</f>
        <v>0</v>
      </c>
      <c r="Q345" s="45">
        <f>DATE(YEAR(Tabla2[[#This Row],[Fecha de Recibido]]),MONTH(Tabla2[[#This Row],[Fecha de Recibido]]),1)</f>
        <v>44958</v>
      </c>
      <c r="R345" s="45" t="s">
        <v>63</v>
      </c>
    </row>
    <row r="346" spans="1:18" s="42" customFormat="1" ht="36.75" customHeight="1">
      <c r="A346" s="63">
        <v>44977</v>
      </c>
      <c r="B346" s="42" t="s">
        <v>17</v>
      </c>
      <c r="C346" s="42" t="s">
        <v>948</v>
      </c>
      <c r="D346" s="41">
        <v>45084</v>
      </c>
      <c r="E346" s="41">
        <v>45084</v>
      </c>
      <c r="F346" s="42" t="s">
        <v>949</v>
      </c>
      <c r="G346" s="43" t="s">
        <v>950</v>
      </c>
      <c r="H346" s="43" t="s">
        <v>951</v>
      </c>
      <c r="I346" s="43" t="s">
        <v>952</v>
      </c>
      <c r="J346" s="43" t="s">
        <v>3</v>
      </c>
      <c r="K346" s="43" t="s">
        <v>352</v>
      </c>
      <c r="L346" s="44" t="str">
        <f>IF(Tabla2[[#This Row],[Fecha de Resp]]&gt;Tabla2[[#This Row],[Fecha MAX de Resp]],"Retrasado",IF(Tabla2[[#This Row],[Fecha de Resp]]=0,"Pendiente",IF(Tabla2[[#This Row],[Fecha de Resp]]&lt;=Tabla2[[#This Row],[Fecha MAX de Resp]],"A Tiempo",0)))</f>
        <v>A Tiempo</v>
      </c>
      <c r="M346" s="43"/>
      <c r="N346" s="44"/>
      <c r="O346" s="48" t="b">
        <f>EXACT(Tabla2[[#This Row],[Fecha de Recibido]],Tabla2[[#This Row],[Fecha MAX de Resp]])</f>
        <v>0</v>
      </c>
      <c r="P346" s="48" t="b">
        <f>EXACT(Tabla2[[#This Row],[Fecha de Recibido]],Tabla2[[#This Row],[Fecha de Resp]])</f>
        <v>0</v>
      </c>
      <c r="Q346" s="45">
        <f>DATE(YEAR(Tabla2[[#This Row],[Fecha de Recibido]]),MONTH(Tabla2[[#This Row],[Fecha de Recibido]]),1)</f>
        <v>44958</v>
      </c>
      <c r="R346" s="45" t="s">
        <v>63</v>
      </c>
    </row>
    <row r="347" spans="1:18" s="42" customFormat="1" ht="36.75" customHeight="1">
      <c r="A347" s="63">
        <v>44977</v>
      </c>
      <c r="B347" s="42" t="s">
        <v>17</v>
      </c>
      <c r="C347" s="42" t="s">
        <v>953</v>
      </c>
      <c r="D347" s="41">
        <v>44998</v>
      </c>
      <c r="E347" s="41">
        <v>44998</v>
      </c>
      <c r="F347" s="42" t="s">
        <v>954</v>
      </c>
      <c r="G347" s="43"/>
      <c r="H347" s="43" t="s">
        <v>955</v>
      </c>
      <c r="I347" s="43" t="s">
        <v>955</v>
      </c>
      <c r="J347" s="43" t="s">
        <v>14</v>
      </c>
      <c r="K347" s="43" t="s">
        <v>4</v>
      </c>
      <c r="L347" s="44" t="str">
        <f>IF(Tabla2[[#This Row],[Fecha de Resp]]&gt;Tabla2[[#This Row],[Fecha MAX de Resp]],"Retrasado",IF(Tabla2[[#This Row],[Fecha de Resp]]=0,"Pendiente",IF(Tabla2[[#This Row],[Fecha de Resp]]&lt;=Tabla2[[#This Row],[Fecha MAX de Resp]],"A Tiempo",0)))</f>
        <v>A Tiempo</v>
      </c>
      <c r="M347" s="44"/>
      <c r="N347" s="44"/>
      <c r="O347" s="48" t="b">
        <f>EXACT(Tabla2[[#This Row],[Fecha de Recibido]],Tabla2[[#This Row],[Fecha MAX de Resp]])</f>
        <v>0</v>
      </c>
      <c r="P347" s="48" t="b">
        <f>EXACT(Tabla2[[#This Row],[Fecha de Recibido]],Tabla2[[#This Row],[Fecha de Resp]])</f>
        <v>0</v>
      </c>
      <c r="Q347" s="45">
        <f>DATE(YEAR(Tabla2[[#This Row],[Fecha de Recibido]]),MONTH(Tabla2[[#This Row],[Fecha de Recibido]]),1)</f>
        <v>44958</v>
      </c>
      <c r="R347" s="45" t="s">
        <v>63</v>
      </c>
    </row>
    <row r="348" spans="1:18" s="42" customFormat="1" ht="36.75" customHeight="1">
      <c r="A348" s="63">
        <v>44977</v>
      </c>
      <c r="B348" s="42" t="s">
        <v>17</v>
      </c>
      <c r="C348" s="42" t="s">
        <v>956</v>
      </c>
      <c r="D348" s="41">
        <v>44995</v>
      </c>
      <c r="E348" s="41">
        <v>44995</v>
      </c>
      <c r="F348" s="42" t="s">
        <v>957</v>
      </c>
      <c r="G348" s="43"/>
      <c r="H348" s="43" t="s">
        <v>958</v>
      </c>
      <c r="I348" s="43" t="s">
        <v>958</v>
      </c>
      <c r="J348" s="43" t="s">
        <v>8</v>
      </c>
      <c r="K348" s="43" t="s">
        <v>4</v>
      </c>
      <c r="L348" s="44" t="str">
        <f>IF(Tabla2[[#This Row],[Fecha de Resp]]&gt;Tabla2[[#This Row],[Fecha MAX de Resp]],"Retrasado",IF(Tabla2[[#This Row],[Fecha de Resp]]=0,"Pendiente",IF(Tabla2[[#This Row],[Fecha de Resp]]&lt;=Tabla2[[#This Row],[Fecha MAX de Resp]],"A Tiempo",0)))</f>
        <v>A Tiempo</v>
      </c>
      <c r="M348" s="44"/>
      <c r="N348" s="44"/>
      <c r="O348" s="48" t="b">
        <f>EXACT(Tabla2[[#This Row],[Fecha de Recibido]],Tabla2[[#This Row],[Fecha MAX de Resp]])</f>
        <v>0</v>
      </c>
      <c r="P348" s="48" t="b">
        <f>EXACT(Tabla2[[#This Row],[Fecha de Recibido]],Tabla2[[#This Row],[Fecha de Resp]])</f>
        <v>0</v>
      </c>
      <c r="Q348" s="45">
        <f>DATE(YEAR(Tabla2[[#This Row],[Fecha de Recibido]]),MONTH(Tabla2[[#This Row],[Fecha de Recibido]]),1)</f>
        <v>44958</v>
      </c>
      <c r="R348" s="45" t="s">
        <v>63</v>
      </c>
    </row>
    <row r="349" spans="1:18" s="42" customFormat="1" ht="36.75" customHeight="1">
      <c r="A349" s="63">
        <v>44977</v>
      </c>
      <c r="B349" s="42" t="s">
        <v>17</v>
      </c>
      <c r="C349" s="42" t="s">
        <v>959</v>
      </c>
      <c r="D349" s="41">
        <v>44995</v>
      </c>
      <c r="E349" s="41">
        <v>44995</v>
      </c>
      <c r="F349" s="42" t="s">
        <v>957</v>
      </c>
      <c r="G349" s="43"/>
      <c r="H349" s="43" t="s">
        <v>960</v>
      </c>
      <c r="I349" s="43" t="s">
        <v>961</v>
      </c>
      <c r="J349" s="43" t="s">
        <v>3</v>
      </c>
      <c r="K349" s="43" t="s">
        <v>4</v>
      </c>
      <c r="L349" s="44" t="str">
        <f>IF(Tabla2[[#This Row],[Fecha de Resp]]&gt;Tabla2[[#This Row],[Fecha MAX de Resp]],"Retrasado",IF(Tabla2[[#This Row],[Fecha de Resp]]=0,"Pendiente",IF(Tabla2[[#This Row],[Fecha de Resp]]&lt;=Tabla2[[#This Row],[Fecha MAX de Resp]],"A Tiempo",0)))</f>
        <v>A Tiempo</v>
      </c>
      <c r="M349" s="44"/>
      <c r="N349" s="44"/>
      <c r="O349" s="48" t="b">
        <f>EXACT(Tabla2[[#This Row],[Fecha de Recibido]],Tabla2[[#This Row],[Fecha MAX de Resp]])</f>
        <v>0</v>
      </c>
      <c r="P349" s="48" t="b">
        <f>EXACT(Tabla2[[#This Row],[Fecha de Recibido]],Tabla2[[#This Row],[Fecha de Resp]])</f>
        <v>0</v>
      </c>
      <c r="Q349" s="45">
        <f>DATE(YEAR(Tabla2[[#This Row],[Fecha de Recibido]]),MONTH(Tabla2[[#This Row],[Fecha de Recibido]]),1)</f>
        <v>44958</v>
      </c>
      <c r="R349" s="45" t="s">
        <v>63</v>
      </c>
    </row>
    <row r="350" spans="1:18" s="42" customFormat="1" ht="36.75" customHeight="1">
      <c r="A350" s="63">
        <v>44977</v>
      </c>
      <c r="B350" s="42" t="s">
        <v>17</v>
      </c>
      <c r="C350" s="42" t="s">
        <v>962</v>
      </c>
      <c r="D350" s="41">
        <v>44995</v>
      </c>
      <c r="E350" s="41">
        <v>44995</v>
      </c>
      <c r="F350" s="42" t="s">
        <v>957</v>
      </c>
      <c r="G350" s="43"/>
      <c r="H350" s="43" t="s">
        <v>963</v>
      </c>
      <c r="I350" s="43" t="s">
        <v>964</v>
      </c>
      <c r="J350" s="43" t="s">
        <v>11</v>
      </c>
      <c r="K350" s="43" t="s">
        <v>4</v>
      </c>
      <c r="L350" s="44" t="str">
        <f>IF(Tabla2[[#This Row],[Fecha de Resp]]&gt;Tabla2[[#This Row],[Fecha MAX de Resp]],"Retrasado",IF(Tabla2[[#This Row],[Fecha de Resp]]=0,"Pendiente",IF(Tabla2[[#This Row],[Fecha de Resp]]&lt;=Tabla2[[#This Row],[Fecha MAX de Resp]],"A Tiempo",0)))</f>
        <v>A Tiempo</v>
      </c>
      <c r="M350" s="44"/>
      <c r="N350" s="44"/>
      <c r="O350" s="48" t="b">
        <f>EXACT(Tabla2[[#This Row],[Fecha de Recibido]],Tabla2[[#This Row],[Fecha MAX de Resp]])</f>
        <v>0</v>
      </c>
      <c r="P350" s="48" t="b">
        <f>EXACT(Tabla2[[#This Row],[Fecha de Recibido]],Tabla2[[#This Row],[Fecha de Resp]])</f>
        <v>0</v>
      </c>
      <c r="Q350" s="45">
        <f>DATE(YEAR(Tabla2[[#This Row],[Fecha de Recibido]]),MONTH(Tabla2[[#This Row],[Fecha de Recibido]]),1)</f>
        <v>44958</v>
      </c>
      <c r="R350" s="45" t="s">
        <v>63</v>
      </c>
    </row>
    <row r="351" spans="1:18" s="42" customFormat="1" ht="36.75" customHeight="1">
      <c r="A351" s="63">
        <v>44977</v>
      </c>
      <c r="B351" s="42" t="s">
        <v>30</v>
      </c>
      <c r="C351" s="42" t="s">
        <v>965</v>
      </c>
      <c r="D351" s="41">
        <v>45037</v>
      </c>
      <c r="E351" s="41">
        <v>45037</v>
      </c>
      <c r="F351" s="42" t="s">
        <v>966</v>
      </c>
      <c r="G351" s="43"/>
      <c r="H351" s="43" t="s">
        <v>967</v>
      </c>
      <c r="I351" s="43"/>
      <c r="J351" s="43" t="s">
        <v>3</v>
      </c>
      <c r="K351" s="43" t="s">
        <v>27</v>
      </c>
      <c r="L351" s="44" t="str">
        <f>IF(Tabla2[[#This Row],[Fecha de Resp]]&gt;Tabla2[[#This Row],[Fecha MAX de Resp]],"Retrasado",IF(Tabla2[[#This Row],[Fecha de Resp]]=0,"Pendiente",IF(Tabla2[[#This Row],[Fecha de Resp]]&lt;=Tabla2[[#This Row],[Fecha MAX de Resp]],"A Tiempo",0)))</f>
        <v>A Tiempo</v>
      </c>
      <c r="M351" s="43"/>
      <c r="N351" s="44"/>
      <c r="O351" s="48" t="b">
        <f>EXACT(Tabla2[[#This Row],[Fecha de Recibido]],Tabla2[[#This Row],[Fecha MAX de Resp]])</f>
        <v>0</v>
      </c>
      <c r="P351" s="48" t="b">
        <f>EXACT(Tabla2[[#This Row],[Fecha de Recibido]],Tabla2[[#This Row],[Fecha de Resp]])</f>
        <v>0</v>
      </c>
      <c r="Q351" s="45">
        <f>DATE(YEAR(Tabla2[[#This Row],[Fecha de Recibido]]),MONTH(Tabla2[[#This Row],[Fecha de Recibido]]),1)</f>
        <v>44958</v>
      </c>
      <c r="R351" s="45" t="s">
        <v>63</v>
      </c>
    </row>
    <row r="352" spans="1:18" s="42" customFormat="1" ht="36.75" customHeight="1">
      <c r="A352" s="63">
        <v>44977</v>
      </c>
      <c r="B352" s="42" t="s">
        <v>17</v>
      </c>
      <c r="C352" s="42" t="s">
        <v>968</v>
      </c>
      <c r="D352" s="41">
        <v>44977</v>
      </c>
      <c r="E352" s="41">
        <v>44977</v>
      </c>
      <c r="F352" s="42" t="s">
        <v>969</v>
      </c>
      <c r="G352" s="43"/>
      <c r="H352" s="43" t="s">
        <v>970</v>
      </c>
      <c r="I352" s="43"/>
      <c r="J352" s="43" t="s">
        <v>3</v>
      </c>
      <c r="K352" s="43" t="s">
        <v>19</v>
      </c>
      <c r="L352" s="44" t="str">
        <f>IF(Tabla2[[#This Row],[Fecha de Resp]]&gt;Tabla2[[#This Row],[Fecha MAX de Resp]],"Retrasado",IF(Tabla2[[#This Row],[Fecha de Resp]]=0,"Pendiente",IF(Tabla2[[#This Row],[Fecha de Resp]]&lt;=Tabla2[[#This Row],[Fecha MAX de Resp]],"A Tiempo",0)))</f>
        <v>A Tiempo</v>
      </c>
      <c r="M352" s="44"/>
      <c r="N352" s="44"/>
      <c r="O352" s="48" t="b">
        <f>EXACT(Tabla2[[#This Row],[Fecha de Recibido]],Tabla2[[#This Row],[Fecha MAX de Resp]])</f>
        <v>1</v>
      </c>
      <c r="P352" s="48" t="b">
        <f>EXACT(Tabla2[[#This Row],[Fecha de Recibido]],Tabla2[[#This Row],[Fecha de Resp]])</f>
        <v>1</v>
      </c>
      <c r="Q352" s="45">
        <f>DATE(YEAR(Tabla2[[#This Row],[Fecha de Recibido]]),MONTH(Tabla2[[#This Row],[Fecha de Recibido]]),1)</f>
        <v>44958</v>
      </c>
      <c r="R352" s="45" t="s">
        <v>63</v>
      </c>
    </row>
    <row r="353" spans="1:18" s="42" customFormat="1" ht="36.75" customHeight="1">
      <c r="A353" s="63">
        <v>44974</v>
      </c>
      <c r="B353" s="42" t="s">
        <v>17</v>
      </c>
      <c r="C353" s="42" t="s">
        <v>971</v>
      </c>
      <c r="D353" s="41">
        <v>44988</v>
      </c>
      <c r="E353" s="41">
        <v>44988</v>
      </c>
      <c r="F353" s="42" t="s">
        <v>972</v>
      </c>
      <c r="G353" s="55" t="s">
        <v>973</v>
      </c>
      <c r="H353" s="43"/>
      <c r="I353" s="43" t="s">
        <v>974</v>
      </c>
      <c r="J353" s="43" t="s">
        <v>14</v>
      </c>
      <c r="K353" s="43" t="s">
        <v>404</v>
      </c>
      <c r="L353" s="44" t="str">
        <f>IF(Tabla2[[#This Row],[Fecha de Resp]]&gt;Tabla2[[#This Row],[Fecha MAX de Resp]],"Retrasado",IF(Tabla2[[#This Row],[Fecha de Resp]]=0,"Pendiente",IF(Tabla2[[#This Row],[Fecha de Resp]]&lt;=Tabla2[[#This Row],[Fecha MAX de Resp]],"A Tiempo",0)))</f>
        <v>A Tiempo</v>
      </c>
      <c r="M353" s="44"/>
      <c r="N353" s="44"/>
      <c r="O353" s="48" t="b">
        <f>EXACT(Tabla2[[#This Row],[Fecha de Recibido]],Tabla2[[#This Row],[Fecha MAX de Resp]])</f>
        <v>0</v>
      </c>
      <c r="P353" s="48" t="b">
        <f>EXACT(Tabla2[[#This Row],[Fecha de Recibido]],Tabla2[[#This Row],[Fecha de Resp]])</f>
        <v>0</v>
      </c>
      <c r="Q353" s="45">
        <f>DATE(YEAR(Tabla2[[#This Row],[Fecha de Recibido]]),MONTH(Tabla2[[#This Row],[Fecha de Recibido]]),1)</f>
        <v>44958</v>
      </c>
      <c r="R353" s="45" t="s">
        <v>63</v>
      </c>
    </row>
    <row r="354" spans="1:18" s="42" customFormat="1" ht="36.75" customHeight="1">
      <c r="A354" s="63">
        <v>44974</v>
      </c>
      <c r="B354" s="42" t="s">
        <v>17</v>
      </c>
      <c r="C354" s="42" t="s">
        <v>975</v>
      </c>
      <c r="D354" s="41">
        <v>44989</v>
      </c>
      <c r="E354" s="41">
        <v>44988</v>
      </c>
      <c r="F354" s="42" t="s">
        <v>976</v>
      </c>
      <c r="G354" s="43" t="s">
        <v>977</v>
      </c>
      <c r="H354" s="43"/>
      <c r="I354" s="43" t="s">
        <v>978</v>
      </c>
      <c r="J354" s="43" t="s">
        <v>11</v>
      </c>
      <c r="K354" s="43" t="s">
        <v>404</v>
      </c>
      <c r="L354" s="44" t="str">
        <f>IF(Tabla2[[#This Row],[Fecha de Resp]]&gt;Tabla2[[#This Row],[Fecha MAX de Resp]],"Retrasado",IF(Tabla2[[#This Row],[Fecha de Resp]]=0,"Pendiente",IF(Tabla2[[#This Row],[Fecha de Resp]]&lt;=Tabla2[[#This Row],[Fecha MAX de Resp]],"A Tiempo",0)))</f>
        <v>A Tiempo</v>
      </c>
      <c r="M354" s="44"/>
      <c r="N354" s="44"/>
      <c r="O354" s="48" t="b">
        <f>EXACT(Tabla2[[#This Row],[Fecha de Recibido]],Tabla2[[#This Row],[Fecha MAX de Resp]])</f>
        <v>0</v>
      </c>
      <c r="P354" s="48" t="b">
        <f>EXACT(Tabla2[[#This Row],[Fecha de Recibido]],Tabla2[[#This Row],[Fecha de Resp]])</f>
        <v>0</v>
      </c>
      <c r="Q354" s="45">
        <f>DATE(YEAR(Tabla2[[#This Row],[Fecha de Recibido]]),MONTH(Tabla2[[#This Row],[Fecha de Recibido]]),1)</f>
        <v>44958</v>
      </c>
      <c r="R354" s="45" t="s">
        <v>63</v>
      </c>
    </row>
    <row r="355" spans="1:18" s="42" customFormat="1" ht="36.75" customHeight="1">
      <c r="A355" s="63">
        <v>44974</v>
      </c>
      <c r="B355" s="42" t="s">
        <v>17</v>
      </c>
      <c r="C355" s="42" t="s">
        <v>979</v>
      </c>
      <c r="D355" s="41">
        <v>44990</v>
      </c>
      <c r="E355" s="41">
        <v>44988</v>
      </c>
      <c r="F355" s="42" t="s">
        <v>980</v>
      </c>
      <c r="G355" s="43" t="s">
        <v>981</v>
      </c>
      <c r="H355" s="43"/>
      <c r="I355" s="43" t="s">
        <v>982</v>
      </c>
      <c r="J355" s="43" t="s">
        <v>3</v>
      </c>
      <c r="K355" s="43" t="s">
        <v>404</v>
      </c>
      <c r="L355" s="44" t="str">
        <f>IF(Tabla2[[#This Row],[Fecha de Resp]]&gt;Tabla2[[#This Row],[Fecha MAX de Resp]],"Retrasado",IF(Tabla2[[#This Row],[Fecha de Resp]]=0,"Pendiente",IF(Tabla2[[#This Row],[Fecha de Resp]]&lt;=Tabla2[[#This Row],[Fecha MAX de Resp]],"A Tiempo",0)))</f>
        <v>A Tiempo</v>
      </c>
      <c r="M355" s="44"/>
      <c r="N355" s="44"/>
      <c r="O355" s="48" t="b">
        <f>EXACT(Tabla2[[#This Row],[Fecha de Recibido]],Tabla2[[#This Row],[Fecha MAX de Resp]])</f>
        <v>0</v>
      </c>
      <c r="P355" s="48" t="b">
        <f>EXACT(Tabla2[[#This Row],[Fecha de Recibido]],Tabla2[[#This Row],[Fecha de Resp]])</f>
        <v>0</v>
      </c>
      <c r="Q355" s="45">
        <f>DATE(YEAR(Tabla2[[#This Row],[Fecha de Recibido]]),MONTH(Tabla2[[#This Row],[Fecha de Recibido]]),1)</f>
        <v>44958</v>
      </c>
      <c r="R355" s="45" t="s">
        <v>63</v>
      </c>
    </row>
    <row r="356" spans="1:18" s="42" customFormat="1" ht="36.75" customHeight="1">
      <c r="A356" s="63">
        <v>44974</v>
      </c>
      <c r="B356" s="42" t="s">
        <v>17</v>
      </c>
      <c r="C356" s="42" t="s">
        <v>983</v>
      </c>
      <c r="D356" s="41">
        <v>44991</v>
      </c>
      <c r="E356" s="41">
        <v>44988</v>
      </c>
      <c r="F356" s="42" t="s">
        <v>984</v>
      </c>
      <c r="G356" s="43" t="s">
        <v>985</v>
      </c>
      <c r="H356" s="43"/>
      <c r="I356" s="43"/>
      <c r="J356" s="43" t="s">
        <v>14</v>
      </c>
      <c r="K356" s="43" t="s">
        <v>404</v>
      </c>
      <c r="L356" s="44" t="str">
        <f>IF(Tabla2[[#This Row],[Fecha de Resp]]&gt;Tabla2[[#This Row],[Fecha MAX de Resp]],"Retrasado",IF(Tabla2[[#This Row],[Fecha de Resp]]=0,"Pendiente",IF(Tabla2[[#This Row],[Fecha de Resp]]&lt;=Tabla2[[#This Row],[Fecha MAX de Resp]],"A Tiempo",0)))</f>
        <v>A Tiempo</v>
      </c>
      <c r="M356" s="44"/>
      <c r="N356" s="44"/>
      <c r="O356" s="48" t="b">
        <f>EXACT(Tabla2[[#This Row],[Fecha de Recibido]],Tabla2[[#This Row],[Fecha MAX de Resp]])</f>
        <v>0</v>
      </c>
      <c r="P356" s="48" t="b">
        <f>EXACT(Tabla2[[#This Row],[Fecha de Recibido]],Tabla2[[#This Row],[Fecha de Resp]])</f>
        <v>0</v>
      </c>
      <c r="Q356" s="45">
        <f>DATE(YEAR(Tabla2[[#This Row],[Fecha de Recibido]]),MONTH(Tabla2[[#This Row],[Fecha de Recibido]]),1)</f>
        <v>44958</v>
      </c>
      <c r="R356" s="45" t="s">
        <v>63</v>
      </c>
    </row>
    <row r="357" spans="1:18" s="42" customFormat="1" ht="36.75" customHeight="1">
      <c r="A357" s="63">
        <v>44971</v>
      </c>
      <c r="B357" s="42" t="s">
        <v>32</v>
      </c>
      <c r="C357" s="42" t="s">
        <v>986</v>
      </c>
      <c r="D357" s="41">
        <v>44971</v>
      </c>
      <c r="E357" s="41">
        <v>44971</v>
      </c>
      <c r="F357" s="42" t="s">
        <v>987</v>
      </c>
      <c r="G357" s="43" t="s">
        <v>988</v>
      </c>
      <c r="H357" s="43"/>
      <c r="I357" s="43"/>
      <c r="J357" s="43" t="s">
        <v>3</v>
      </c>
      <c r="K357" s="47" t="s">
        <v>19</v>
      </c>
      <c r="L357" s="44" t="str">
        <f>IF(Tabla2[[#This Row],[Fecha de Resp]]&gt;Tabla2[[#This Row],[Fecha MAX de Resp]],"Retrasado",IF(Tabla2[[#This Row],[Fecha de Resp]]=0,"Pendiente",IF(Tabla2[[#This Row],[Fecha de Resp]]&lt;=Tabla2[[#This Row],[Fecha MAX de Resp]],"A Tiempo",0)))</f>
        <v>A Tiempo</v>
      </c>
      <c r="M357" s="44"/>
      <c r="N357" s="44"/>
      <c r="O357" s="48" t="b">
        <f>EXACT(Tabla2[[#This Row],[Fecha de Recibido]],Tabla2[[#This Row],[Fecha MAX de Resp]])</f>
        <v>1</v>
      </c>
      <c r="P357" s="48" t="b">
        <f>EXACT(Tabla2[[#This Row],[Fecha de Recibido]],Tabla2[[#This Row],[Fecha de Resp]])</f>
        <v>1</v>
      </c>
      <c r="Q357" s="45">
        <f>DATE(YEAR(Tabla2[[#This Row],[Fecha de Recibido]]),MONTH(Tabla2[[#This Row],[Fecha de Recibido]]),1)</f>
        <v>44958</v>
      </c>
      <c r="R357" s="45" t="s">
        <v>63</v>
      </c>
    </row>
    <row r="358" spans="1:18" s="42" customFormat="1" ht="36.75" customHeight="1">
      <c r="A358" s="63">
        <v>44958</v>
      </c>
      <c r="B358" s="42" t="s">
        <v>32</v>
      </c>
      <c r="C358" s="42" t="s">
        <v>989</v>
      </c>
      <c r="D358" s="41">
        <v>45211</v>
      </c>
      <c r="E358" s="41">
        <v>45211</v>
      </c>
      <c r="G358" s="48" t="s">
        <v>990</v>
      </c>
      <c r="H358" s="48" t="s">
        <v>991</v>
      </c>
      <c r="I358" s="48" t="s">
        <v>992</v>
      </c>
      <c r="J358" s="43" t="s">
        <v>8</v>
      </c>
      <c r="L358" s="44" t="str">
        <f>IF(Tabla2[[#This Row],[Fecha de Resp]]&gt;Tabla2[[#This Row],[Fecha MAX de Resp]],"Retrasado",IF(Tabla2[[#This Row],[Fecha de Resp]]=0,"Pendiente",IF(Tabla2[[#This Row],[Fecha de Resp]]&lt;=Tabla2[[#This Row],[Fecha MAX de Resp]],"A Tiempo",0)))</f>
        <v>A Tiempo</v>
      </c>
      <c r="M358" s="48"/>
      <c r="N358" s="48"/>
      <c r="O358" s="48" t="b">
        <f>EXACT(Tabla2[[#This Row],[Fecha de Recibido]],Tabla2[[#This Row],[Fecha MAX de Resp]])</f>
        <v>0</v>
      </c>
      <c r="P358" s="48" t="b">
        <f>EXACT(Tabla2[[#This Row],[Fecha de Recibido]],Tabla2[[#This Row],[Fecha de Resp]])</f>
        <v>0</v>
      </c>
      <c r="Q358" s="45">
        <f>DATE(YEAR(Tabla2[[#This Row],[Fecha de Recibido]]),MONTH(Tabla2[[#This Row],[Fecha de Recibido]]),1)</f>
        <v>44958</v>
      </c>
      <c r="R358" s="45" t="s">
        <v>63</v>
      </c>
    </row>
    <row r="359" spans="1:18" s="42" customFormat="1" ht="36.75" customHeight="1">
      <c r="A359" s="63">
        <v>44956</v>
      </c>
      <c r="B359" s="42" t="s">
        <v>32</v>
      </c>
      <c r="C359" s="42" t="s">
        <v>993</v>
      </c>
      <c r="D359" s="41">
        <v>44956</v>
      </c>
      <c r="E359" s="41">
        <v>44956</v>
      </c>
      <c r="F359" s="42" t="s">
        <v>994</v>
      </c>
      <c r="G359" s="43"/>
      <c r="H359" s="43" t="s">
        <v>995</v>
      </c>
      <c r="I359" s="43"/>
      <c r="J359" s="43" t="s">
        <v>11</v>
      </c>
      <c r="K359" s="43" t="s">
        <v>352</v>
      </c>
      <c r="L359" s="44" t="str">
        <f>IF(Tabla2[[#This Row],[Fecha de Resp]]&gt;Tabla2[[#This Row],[Fecha MAX de Resp]],"Retrasado",IF(Tabla2[[#This Row],[Fecha de Resp]]=0,"Pendiente",IF(Tabla2[[#This Row],[Fecha de Resp]]&lt;=Tabla2[[#This Row],[Fecha MAX de Resp]],"A Tiempo",0)))</f>
        <v>A Tiempo</v>
      </c>
      <c r="M359" s="57">
        <v>44956</v>
      </c>
      <c r="N359" s="44"/>
      <c r="O359" s="48" t="b">
        <f>EXACT(Tabla2[[#This Row],[Fecha de Recibido]],Tabla2[[#This Row],[Fecha MAX de Resp]])</f>
        <v>1</v>
      </c>
      <c r="P359" s="48" t="b">
        <f>EXACT(Tabla2[[#This Row],[Fecha de Recibido]],Tabla2[[#This Row],[Fecha de Resp]])</f>
        <v>1</v>
      </c>
      <c r="Q359" s="45">
        <f>DATE(YEAR(Tabla2[[#This Row],[Fecha de Recibido]]),MONTH(Tabla2[[#This Row],[Fecha de Recibido]]),1)</f>
        <v>44927</v>
      </c>
      <c r="R359" s="45" t="s">
        <v>63</v>
      </c>
    </row>
    <row r="360" spans="1:18" s="42" customFormat="1" ht="36.75" customHeight="1">
      <c r="A360" s="63">
        <v>44956</v>
      </c>
      <c r="B360" s="42" t="s">
        <v>32</v>
      </c>
      <c r="C360" s="42" t="s">
        <v>996</v>
      </c>
      <c r="D360" s="41">
        <v>44956</v>
      </c>
      <c r="E360" s="41">
        <v>44956</v>
      </c>
      <c r="F360" s="42" t="s">
        <v>997</v>
      </c>
      <c r="G360" s="43"/>
      <c r="H360" s="43" t="s">
        <v>998</v>
      </c>
      <c r="I360" s="43"/>
      <c r="J360" s="43" t="s">
        <v>8</v>
      </c>
      <c r="K360" s="43" t="s">
        <v>352</v>
      </c>
      <c r="L360" s="44" t="str">
        <f>IF(Tabla2[[#This Row],[Fecha de Resp]]&gt;Tabla2[[#This Row],[Fecha MAX de Resp]],"Retrasado",IF(Tabla2[[#This Row],[Fecha de Resp]]=0,"Pendiente",IF(Tabla2[[#This Row],[Fecha de Resp]]&lt;=Tabla2[[#This Row],[Fecha MAX de Resp]],"A Tiempo",0)))</f>
        <v>A Tiempo</v>
      </c>
      <c r="M360" s="57">
        <v>44956</v>
      </c>
      <c r="N360" s="44"/>
      <c r="O360" s="48" t="b">
        <f>EXACT(Tabla2[[#This Row],[Fecha de Recibido]],Tabla2[[#This Row],[Fecha MAX de Resp]])</f>
        <v>1</v>
      </c>
      <c r="P360" s="48" t="b">
        <f>EXACT(Tabla2[[#This Row],[Fecha de Recibido]],Tabla2[[#This Row],[Fecha de Resp]])</f>
        <v>1</v>
      </c>
      <c r="Q360" s="45">
        <f>DATE(YEAR(Tabla2[[#This Row],[Fecha de Recibido]]),MONTH(Tabla2[[#This Row],[Fecha de Recibido]]),1)</f>
        <v>44927</v>
      </c>
      <c r="R360" s="45" t="s">
        <v>63</v>
      </c>
    </row>
    <row r="361" spans="1:18" s="42" customFormat="1" ht="36.75" customHeight="1">
      <c r="A361" s="63">
        <v>44956</v>
      </c>
      <c r="B361" s="42" t="s">
        <v>32</v>
      </c>
      <c r="C361" s="42" t="s">
        <v>999</v>
      </c>
      <c r="D361" s="41">
        <v>44956</v>
      </c>
      <c r="E361" s="41">
        <v>44956</v>
      </c>
      <c r="F361" s="42" t="s">
        <v>1000</v>
      </c>
      <c r="G361" s="43"/>
      <c r="H361" s="43" t="s">
        <v>1001</v>
      </c>
      <c r="I361" s="43"/>
      <c r="J361" s="43" t="s">
        <v>14</v>
      </c>
      <c r="K361" s="43" t="s">
        <v>352</v>
      </c>
      <c r="L361" s="44" t="str">
        <f>IF(Tabla2[[#This Row],[Fecha de Resp]]&gt;Tabla2[[#This Row],[Fecha MAX de Resp]],"Retrasado",IF(Tabla2[[#This Row],[Fecha de Resp]]=0,"Pendiente",IF(Tabla2[[#This Row],[Fecha de Resp]]&lt;=Tabla2[[#This Row],[Fecha MAX de Resp]],"A Tiempo",0)))</f>
        <v>A Tiempo</v>
      </c>
      <c r="M361" s="57">
        <v>44956</v>
      </c>
      <c r="N361" s="44"/>
      <c r="O361" s="48" t="b">
        <f>EXACT(Tabla2[[#This Row],[Fecha de Recibido]],Tabla2[[#This Row],[Fecha MAX de Resp]])</f>
        <v>1</v>
      </c>
      <c r="P361" s="48" t="b">
        <f>EXACT(Tabla2[[#This Row],[Fecha de Recibido]],Tabla2[[#This Row],[Fecha de Resp]])</f>
        <v>1</v>
      </c>
      <c r="Q361" s="45">
        <f>DATE(YEAR(Tabla2[[#This Row],[Fecha de Recibido]]),MONTH(Tabla2[[#This Row],[Fecha de Recibido]]),1)</f>
        <v>44927</v>
      </c>
      <c r="R361" s="45" t="s">
        <v>63</v>
      </c>
    </row>
    <row r="362" spans="1:18" s="42" customFormat="1" ht="36.75" customHeight="1">
      <c r="A362" s="63">
        <v>44956</v>
      </c>
      <c r="B362" s="42" t="s">
        <v>32</v>
      </c>
      <c r="C362" s="42" t="s">
        <v>1002</v>
      </c>
      <c r="D362" s="41">
        <v>44956</v>
      </c>
      <c r="E362" s="41">
        <v>44956</v>
      </c>
      <c r="F362" s="42" t="s">
        <v>1003</v>
      </c>
      <c r="G362" s="43"/>
      <c r="H362" s="43" t="s">
        <v>1004</v>
      </c>
      <c r="I362" s="43"/>
      <c r="J362" s="43" t="s">
        <v>3</v>
      </c>
      <c r="K362" s="43" t="s">
        <v>352</v>
      </c>
      <c r="L362" s="44" t="str">
        <f>IF(Tabla2[[#This Row],[Fecha de Resp]]&gt;Tabla2[[#This Row],[Fecha MAX de Resp]],"Retrasado",IF(Tabla2[[#This Row],[Fecha de Resp]]=0,"Pendiente",IF(Tabla2[[#This Row],[Fecha de Resp]]&lt;=Tabla2[[#This Row],[Fecha MAX de Resp]],"A Tiempo",0)))</f>
        <v>A Tiempo</v>
      </c>
      <c r="M362" s="57">
        <v>44956</v>
      </c>
      <c r="N362" s="44"/>
      <c r="O362" s="48" t="b">
        <f>EXACT(Tabla2[[#This Row],[Fecha de Recibido]],Tabla2[[#This Row],[Fecha MAX de Resp]])</f>
        <v>1</v>
      </c>
      <c r="P362" s="48" t="b">
        <f>EXACT(Tabla2[[#This Row],[Fecha de Recibido]],Tabla2[[#This Row],[Fecha de Resp]])</f>
        <v>1</v>
      </c>
      <c r="Q362" s="45">
        <f>DATE(YEAR(Tabla2[[#This Row],[Fecha de Recibido]]),MONTH(Tabla2[[#This Row],[Fecha de Recibido]]),1)</f>
        <v>44927</v>
      </c>
      <c r="R362" s="45" t="s">
        <v>63</v>
      </c>
    </row>
    <row r="363" spans="1:18" s="42" customFormat="1" ht="36.75" customHeight="1">
      <c r="A363" s="63">
        <v>44939</v>
      </c>
      <c r="B363" s="42" t="s">
        <v>37</v>
      </c>
      <c r="C363" s="42" t="s">
        <v>1005</v>
      </c>
      <c r="D363" s="41">
        <v>44939</v>
      </c>
      <c r="E363" s="41">
        <v>44939</v>
      </c>
      <c r="G363" s="43" t="s">
        <v>1006</v>
      </c>
      <c r="H363" s="43"/>
      <c r="I363" s="43"/>
      <c r="J363" s="43" t="s">
        <v>3</v>
      </c>
      <c r="K363" s="43" t="s">
        <v>360</v>
      </c>
      <c r="L363" s="44" t="str">
        <f>IF(Tabla2[[#This Row],[Fecha de Resp]]&gt;Tabla2[[#This Row],[Fecha MAX de Resp]],"Retrasado",IF(Tabla2[[#This Row],[Fecha de Resp]]=0,"Pendiente",IF(Tabla2[[#This Row],[Fecha de Resp]]&lt;=Tabla2[[#This Row],[Fecha MAX de Resp]],"A Tiempo",0)))</f>
        <v>A Tiempo</v>
      </c>
      <c r="M363" s="44"/>
      <c r="N363" s="44"/>
      <c r="O363" s="48" t="b">
        <f>EXACT(Tabla2[[#This Row],[Fecha de Recibido]],Tabla2[[#This Row],[Fecha MAX de Resp]])</f>
        <v>1</v>
      </c>
      <c r="P363" s="48" t="b">
        <f>EXACT(Tabla2[[#This Row],[Fecha de Recibido]],Tabla2[[#This Row],[Fecha de Resp]])</f>
        <v>1</v>
      </c>
      <c r="Q363" s="45">
        <f>DATE(YEAR(Tabla2[[#This Row],[Fecha de Recibido]]),MONTH(Tabla2[[#This Row],[Fecha de Recibido]]),1)</f>
        <v>44927</v>
      </c>
      <c r="R363" s="45" t="s">
        <v>63</v>
      </c>
    </row>
    <row r="364" spans="1:18" s="42" customFormat="1" ht="36.75" customHeight="1">
      <c r="A364" s="63">
        <v>44924</v>
      </c>
      <c r="B364" s="42" t="s">
        <v>17</v>
      </c>
      <c r="C364" s="42" t="s">
        <v>1007</v>
      </c>
      <c r="D364" s="41">
        <v>44943</v>
      </c>
      <c r="E364" s="41">
        <v>44939</v>
      </c>
      <c r="F364" s="42" t="s">
        <v>1008</v>
      </c>
      <c r="G364" s="43" t="s">
        <v>1009</v>
      </c>
      <c r="H364" s="43" t="s">
        <v>1010</v>
      </c>
      <c r="I364" s="43"/>
      <c r="J364" s="43" t="s">
        <v>3</v>
      </c>
      <c r="K364" s="43" t="s">
        <v>25</v>
      </c>
      <c r="L364" s="44" t="str">
        <f>IF(Tabla2[[#This Row],[Fecha de Resp]]&gt;Tabla2[[#This Row],[Fecha MAX de Resp]],"Retrasado",IF(Tabla2[[#This Row],[Fecha de Resp]]=0,"Pendiente",IF(Tabla2[[#This Row],[Fecha de Resp]]&lt;=Tabla2[[#This Row],[Fecha MAX de Resp]],"A Tiempo",0)))</f>
        <v>A Tiempo</v>
      </c>
      <c r="M364" s="44"/>
      <c r="N364" s="44"/>
      <c r="O364" s="48" t="b">
        <f>EXACT(Tabla2[[#This Row],[Fecha de Recibido]],Tabla2[[#This Row],[Fecha MAX de Resp]])</f>
        <v>0</v>
      </c>
      <c r="P364" s="48" t="b">
        <f>EXACT(Tabla2[[#This Row],[Fecha de Recibido]],Tabla2[[#This Row],[Fecha de Resp]])</f>
        <v>0</v>
      </c>
      <c r="Q364" s="45">
        <f>DATE(YEAR(Tabla2[[#This Row],[Fecha de Recibido]]),MONTH(Tabla2[[#This Row],[Fecha de Recibido]]),1)</f>
        <v>44896</v>
      </c>
      <c r="R364" s="45" t="s">
        <v>63</v>
      </c>
    </row>
    <row r="365" spans="1:18" s="42" customFormat="1" ht="36.75" customHeight="1">
      <c r="A365" s="63">
        <v>44924</v>
      </c>
      <c r="B365" s="42" t="s">
        <v>32</v>
      </c>
      <c r="C365" s="42" t="s">
        <v>1011</v>
      </c>
      <c r="D365" s="41">
        <v>44939</v>
      </c>
      <c r="E365" s="41">
        <v>44939</v>
      </c>
      <c r="F365" s="42" t="s">
        <v>1012</v>
      </c>
      <c r="G365" s="43" t="s">
        <v>1013</v>
      </c>
      <c r="H365" s="43"/>
      <c r="I365" s="43" t="s">
        <v>1014</v>
      </c>
      <c r="J365" s="43" t="s">
        <v>8</v>
      </c>
      <c r="K365" s="43" t="s">
        <v>360</v>
      </c>
      <c r="L365" s="44" t="str">
        <f>IF(Tabla2[[#This Row],[Fecha de Resp]]&gt;Tabla2[[#This Row],[Fecha MAX de Resp]],"Retrasado",IF(Tabla2[[#This Row],[Fecha de Resp]]=0,"Pendiente",IF(Tabla2[[#This Row],[Fecha de Resp]]&lt;=Tabla2[[#This Row],[Fecha MAX de Resp]],"A Tiempo",0)))</f>
        <v>A Tiempo</v>
      </c>
      <c r="M365" s="44"/>
      <c r="N365" s="44"/>
      <c r="O365" s="48" t="b">
        <f>EXACT(Tabla2[[#This Row],[Fecha de Recibido]],Tabla2[[#This Row],[Fecha MAX de Resp]])</f>
        <v>0</v>
      </c>
      <c r="P365" s="48" t="b">
        <f>EXACT(Tabla2[[#This Row],[Fecha de Recibido]],Tabla2[[#This Row],[Fecha de Resp]])</f>
        <v>0</v>
      </c>
      <c r="Q365" s="45">
        <f>DATE(YEAR(Tabla2[[#This Row],[Fecha de Recibido]]),MONTH(Tabla2[[#This Row],[Fecha de Recibido]]),1)</f>
        <v>44896</v>
      </c>
      <c r="R365" s="45" t="s">
        <v>63</v>
      </c>
    </row>
    <row r="366" spans="1:18" s="42" customFormat="1" ht="36.75" customHeight="1">
      <c r="A366" s="63">
        <v>44924</v>
      </c>
      <c r="B366" s="42" t="s">
        <v>32</v>
      </c>
      <c r="C366" s="42" t="s">
        <v>1015</v>
      </c>
      <c r="D366" s="41">
        <v>44973</v>
      </c>
      <c r="E366" s="41">
        <v>44973</v>
      </c>
      <c r="F366" s="42" t="s">
        <v>1012</v>
      </c>
      <c r="G366" s="43" t="s">
        <v>1016</v>
      </c>
      <c r="H366" s="43"/>
      <c r="I366" s="43" t="s">
        <v>1017</v>
      </c>
      <c r="J366" s="43" t="s">
        <v>3</v>
      </c>
      <c r="K366" s="43" t="s">
        <v>360</v>
      </c>
      <c r="L366" s="44" t="str">
        <f>IF(Tabla2[[#This Row],[Fecha de Resp]]&gt;Tabla2[[#This Row],[Fecha MAX de Resp]],"Retrasado",IF(Tabla2[[#This Row],[Fecha de Resp]]=0,"Pendiente",IF(Tabla2[[#This Row],[Fecha de Resp]]&lt;=Tabla2[[#This Row],[Fecha MAX de Resp]],"A Tiempo",0)))</f>
        <v>A Tiempo</v>
      </c>
      <c r="M366" s="44"/>
      <c r="N366" s="44"/>
      <c r="O366" s="48" t="b">
        <f>EXACT(Tabla2[[#This Row],[Fecha de Recibido]],Tabla2[[#This Row],[Fecha MAX de Resp]])</f>
        <v>0</v>
      </c>
      <c r="P366" s="48" t="b">
        <f>EXACT(Tabla2[[#This Row],[Fecha de Recibido]],Tabla2[[#This Row],[Fecha de Resp]])</f>
        <v>0</v>
      </c>
      <c r="Q366" s="45">
        <f>DATE(YEAR(Tabla2[[#This Row],[Fecha de Recibido]]),MONTH(Tabla2[[#This Row],[Fecha de Recibido]]),1)</f>
        <v>44896</v>
      </c>
      <c r="R366" s="45" t="s">
        <v>63</v>
      </c>
    </row>
    <row r="367" spans="1:18" s="42" customFormat="1" ht="36.75" customHeight="1">
      <c r="A367" s="63">
        <v>44924</v>
      </c>
      <c r="B367" s="42" t="s">
        <v>32</v>
      </c>
      <c r="C367" s="42" t="s">
        <v>1018</v>
      </c>
      <c r="D367" s="41">
        <v>44939</v>
      </c>
      <c r="E367" s="41">
        <v>44939</v>
      </c>
      <c r="F367" s="42" t="s">
        <v>1012</v>
      </c>
      <c r="G367" s="43" t="s">
        <v>1019</v>
      </c>
      <c r="H367" s="43"/>
      <c r="I367" s="43" t="s">
        <v>1020</v>
      </c>
      <c r="J367" s="43" t="s">
        <v>11</v>
      </c>
      <c r="K367" s="43" t="s">
        <v>360</v>
      </c>
      <c r="L367" s="44" t="str">
        <f>IF(Tabla2[[#This Row],[Fecha de Resp]]&gt;Tabla2[[#This Row],[Fecha MAX de Resp]],"Retrasado",IF(Tabla2[[#This Row],[Fecha de Resp]]=0,"Pendiente",IF(Tabla2[[#This Row],[Fecha de Resp]]&lt;=Tabla2[[#This Row],[Fecha MAX de Resp]],"A Tiempo",0)))</f>
        <v>A Tiempo</v>
      </c>
      <c r="M367" s="44"/>
      <c r="N367" s="44"/>
      <c r="O367" s="48" t="b">
        <f>EXACT(Tabla2[[#This Row],[Fecha de Recibido]],Tabla2[[#This Row],[Fecha MAX de Resp]])</f>
        <v>0</v>
      </c>
      <c r="P367" s="48" t="b">
        <f>EXACT(Tabla2[[#This Row],[Fecha de Recibido]],Tabla2[[#This Row],[Fecha de Resp]])</f>
        <v>0</v>
      </c>
      <c r="Q367" s="45">
        <f>DATE(YEAR(Tabla2[[#This Row],[Fecha de Recibido]]),MONTH(Tabla2[[#This Row],[Fecha de Recibido]]),1)</f>
        <v>44896</v>
      </c>
      <c r="R367" s="45" t="s">
        <v>63</v>
      </c>
    </row>
    <row r="368" spans="1:18" s="42" customFormat="1" ht="36.75" customHeight="1">
      <c r="A368" s="63">
        <v>44924</v>
      </c>
      <c r="B368" s="42" t="s">
        <v>32</v>
      </c>
      <c r="C368" s="42" t="s">
        <v>1021</v>
      </c>
      <c r="D368" s="41">
        <v>44939</v>
      </c>
      <c r="E368" s="41">
        <v>44939</v>
      </c>
      <c r="F368" s="42" t="s">
        <v>1012</v>
      </c>
      <c r="G368" s="43" t="s">
        <v>1022</v>
      </c>
      <c r="H368" s="43"/>
      <c r="I368" s="43" t="s">
        <v>1023</v>
      </c>
      <c r="J368" s="43" t="s">
        <v>14</v>
      </c>
      <c r="K368" s="43" t="s">
        <v>360</v>
      </c>
      <c r="L368" s="44" t="str">
        <f>IF(Tabla2[[#This Row],[Fecha de Resp]]&gt;Tabla2[[#This Row],[Fecha MAX de Resp]],"Retrasado",IF(Tabla2[[#This Row],[Fecha de Resp]]=0,"Pendiente",IF(Tabla2[[#This Row],[Fecha de Resp]]&lt;=Tabla2[[#This Row],[Fecha MAX de Resp]],"A Tiempo",0)))</f>
        <v>A Tiempo</v>
      </c>
      <c r="M368" s="44"/>
      <c r="N368" s="44"/>
      <c r="O368" s="48" t="b">
        <f>EXACT(Tabla2[[#This Row],[Fecha de Recibido]],Tabla2[[#This Row],[Fecha MAX de Resp]])</f>
        <v>0</v>
      </c>
      <c r="P368" s="48" t="b">
        <f>EXACT(Tabla2[[#This Row],[Fecha de Recibido]],Tabla2[[#This Row],[Fecha de Resp]])</f>
        <v>0</v>
      </c>
      <c r="Q368" s="45">
        <f>DATE(YEAR(Tabla2[[#This Row],[Fecha de Recibido]]),MONTH(Tabla2[[#This Row],[Fecha de Recibido]]),1)</f>
        <v>44896</v>
      </c>
      <c r="R368" s="45" t="s">
        <v>63</v>
      </c>
    </row>
    <row r="369" spans="1:18" s="42" customFormat="1" ht="36.75" customHeight="1">
      <c r="A369" s="63">
        <v>44911</v>
      </c>
      <c r="B369" s="42" t="s">
        <v>32</v>
      </c>
      <c r="C369" s="42" t="s">
        <v>1024</v>
      </c>
      <c r="D369" s="41">
        <v>44974</v>
      </c>
      <c r="E369" s="41">
        <v>44974</v>
      </c>
      <c r="F369" s="42" t="s">
        <v>1025</v>
      </c>
      <c r="G369" s="43"/>
      <c r="H369" s="43" t="s">
        <v>1026</v>
      </c>
      <c r="I369" s="43"/>
      <c r="J369" s="43" t="s">
        <v>3</v>
      </c>
      <c r="K369" s="43" t="s">
        <v>4</v>
      </c>
      <c r="L369" s="44" t="str">
        <f>IF(Tabla2[[#This Row],[Fecha de Resp]]&gt;Tabla2[[#This Row],[Fecha MAX de Resp]],"Retrasado",IF(Tabla2[[#This Row],[Fecha de Resp]]=0,"Pendiente",IF(Tabla2[[#This Row],[Fecha de Resp]]&lt;=Tabla2[[#This Row],[Fecha MAX de Resp]],"A Tiempo",0)))</f>
        <v>A Tiempo</v>
      </c>
      <c r="M369" s="44"/>
      <c r="N369" s="44"/>
      <c r="O369" s="48" t="b">
        <f>EXACT(Tabla2[[#This Row],[Fecha de Recibido]],Tabla2[[#This Row],[Fecha MAX de Resp]])</f>
        <v>0</v>
      </c>
      <c r="P369" s="48" t="b">
        <f>EXACT(Tabla2[[#This Row],[Fecha de Recibido]],Tabla2[[#This Row],[Fecha de Resp]])</f>
        <v>0</v>
      </c>
      <c r="Q369" s="45">
        <f>DATE(YEAR(Tabla2[[#This Row],[Fecha de Recibido]]),MONTH(Tabla2[[#This Row],[Fecha de Recibido]]),1)</f>
        <v>44896</v>
      </c>
      <c r="R369" s="45" t="s">
        <v>63</v>
      </c>
    </row>
    <row r="370" spans="1:18" s="42" customFormat="1" ht="36.75" customHeight="1">
      <c r="A370" s="63">
        <v>44904</v>
      </c>
      <c r="B370" s="42" t="s">
        <v>17</v>
      </c>
      <c r="C370" s="42" t="s">
        <v>1027</v>
      </c>
      <c r="D370" s="41">
        <v>45153</v>
      </c>
      <c r="E370" s="41">
        <v>45153</v>
      </c>
      <c r="F370" s="42" t="s">
        <v>1028</v>
      </c>
      <c r="G370" s="43" t="s">
        <v>1029</v>
      </c>
      <c r="H370" s="43"/>
      <c r="I370" s="43"/>
      <c r="J370" s="43" t="s">
        <v>3</v>
      </c>
      <c r="K370" s="43" t="s">
        <v>4</v>
      </c>
      <c r="L370" s="44" t="str">
        <f>IF(Tabla2[[#This Row],[Fecha de Resp]]&gt;Tabla2[[#This Row],[Fecha MAX de Resp]],"Retrasado",IF(Tabla2[[#This Row],[Fecha de Resp]]=0,"Pendiente",IF(Tabla2[[#This Row],[Fecha de Resp]]&lt;=Tabla2[[#This Row],[Fecha MAX de Resp]],"A Tiempo",0)))</f>
        <v>A Tiempo</v>
      </c>
      <c r="M370" s="44"/>
      <c r="N370" s="44"/>
      <c r="O370" s="48" t="b">
        <f>EXACT(Tabla2[[#This Row],[Fecha de Recibido]],Tabla2[[#This Row],[Fecha MAX de Resp]])</f>
        <v>0</v>
      </c>
      <c r="P370" s="48" t="b">
        <f>EXACT(Tabla2[[#This Row],[Fecha de Recibido]],Tabla2[[#This Row],[Fecha de Resp]])</f>
        <v>0</v>
      </c>
      <c r="Q370" s="45">
        <f>DATE(YEAR(Tabla2[[#This Row],[Fecha de Recibido]]),MONTH(Tabla2[[#This Row],[Fecha de Recibido]]),1)</f>
        <v>44896</v>
      </c>
      <c r="R370" s="45" t="s">
        <v>63</v>
      </c>
    </row>
    <row r="371" spans="1:18" s="42" customFormat="1" ht="36.75" customHeight="1">
      <c r="A371" s="63">
        <v>44858</v>
      </c>
      <c r="B371" s="42" t="s">
        <v>41</v>
      </c>
      <c r="C371" s="42" t="s">
        <v>1030</v>
      </c>
      <c r="D371" s="41">
        <v>44859</v>
      </c>
      <c r="E371" s="41">
        <v>44859</v>
      </c>
      <c r="G371" s="43"/>
      <c r="H371" s="43"/>
      <c r="I371" s="43"/>
      <c r="J371" s="43" t="s">
        <v>3</v>
      </c>
      <c r="K371" s="43" t="s">
        <v>404</v>
      </c>
      <c r="L371" s="44" t="str">
        <f>IF(Tabla2[[#This Row],[Fecha de Resp]]&gt;Tabla2[[#This Row],[Fecha MAX de Resp]],"Retrasado",IF(Tabla2[[#This Row],[Fecha de Resp]]=0,"Pendiente",IF(Tabla2[[#This Row],[Fecha de Resp]]&lt;=Tabla2[[#This Row],[Fecha MAX de Resp]],"A Tiempo",0)))</f>
        <v>A Tiempo</v>
      </c>
      <c r="M371" s="44"/>
      <c r="N371" s="44"/>
      <c r="O371" s="48" t="b">
        <f>EXACT(Tabla2[[#This Row],[Fecha de Recibido]],Tabla2[[#This Row],[Fecha MAX de Resp]])</f>
        <v>0</v>
      </c>
      <c r="P371" s="48" t="b">
        <f>EXACT(Tabla2[[#This Row],[Fecha de Recibido]],Tabla2[[#This Row],[Fecha de Resp]])</f>
        <v>0</v>
      </c>
      <c r="Q371" s="45">
        <f>DATE(YEAR(Tabla2[[#This Row],[Fecha de Recibido]]),MONTH(Tabla2[[#This Row],[Fecha de Recibido]]),1)</f>
        <v>44835</v>
      </c>
      <c r="R371" s="45" t="s">
        <v>63</v>
      </c>
    </row>
    <row r="372" spans="1:18" s="42" customFormat="1" ht="36.75" customHeight="1">
      <c r="A372" s="63">
        <v>44858</v>
      </c>
      <c r="B372" s="42" t="s">
        <v>41</v>
      </c>
      <c r="C372" s="42" t="s">
        <v>1031</v>
      </c>
      <c r="D372" s="41">
        <v>44860</v>
      </c>
      <c r="E372" s="41">
        <v>44860</v>
      </c>
      <c r="G372" s="43"/>
      <c r="H372" s="43"/>
      <c r="I372" s="43" t="s">
        <v>1032</v>
      </c>
      <c r="J372" s="43" t="s">
        <v>3</v>
      </c>
      <c r="K372" s="43" t="s">
        <v>19</v>
      </c>
      <c r="L372" s="44" t="str">
        <f>IF(Tabla2[[#This Row],[Fecha de Resp]]&gt;Tabla2[[#This Row],[Fecha MAX de Resp]],"Retrasado",IF(Tabla2[[#This Row],[Fecha de Resp]]=0,"Pendiente",IF(Tabla2[[#This Row],[Fecha de Resp]]&lt;=Tabla2[[#This Row],[Fecha MAX de Resp]],"A Tiempo",0)))</f>
        <v>A Tiempo</v>
      </c>
      <c r="M372" s="44"/>
      <c r="N372" s="44"/>
      <c r="O372" s="48" t="b">
        <f>EXACT(Tabla2[[#This Row],[Fecha de Recibido]],Tabla2[[#This Row],[Fecha MAX de Resp]])</f>
        <v>0</v>
      </c>
      <c r="P372" s="48" t="b">
        <f>EXACT(Tabla2[[#This Row],[Fecha de Recibido]],Tabla2[[#This Row],[Fecha de Resp]])</f>
        <v>0</v>
      </c>
      <c r="Q372" s="45">
        <f>DATE(YEAR(Tabla2[[#This Row],[Fecha de Recibido]]),MONTH(Tabla2[[#This Row],[Fecha de Recibido]]),1)</f>
        <v>44835</v>
      </c>
      <c r="R372" s="45" t="s">
        <v>63</v>
      </c>
    </row>
    <row r="373" spans="1:18" s="42" customFormat="1" ht="36.75" customHeight="1">
      <c r="A373" s="63">
        <v>44846</v>
      </c>
      <c r="B373" s="42" t="s">
        <v>17</v>
      </c>
      <c r="C373" s="42" t="s">
        <v>1033</v>
      </c>
      <c r="D373" s="41">
        <v>44859</v>
      </c>
      <c r="E373" s="41">
        <v>44859</v>
      </c>
      <c r="G373" s="43" t="s">
        <v>1034</v>
      </c>
      <c r="H373" s="43"/>
      <c r="I373" s="43"/>
      <c r="J373" s="43" t="s">
        <v>3</v>
      </c>
      <c r="K373" s="43" t="s">
        <v>19</v>
      </c>
      <c r="L373" s="44" t="str">
        <f>IF(Tabla2[[#This Row],[Fecha de Resp]]&gt;Tabla2[[#This Row],[Fecha MAX de Resp]],"Retrasado",IF(Tabla2[[#This Row],[Fecha de Resp]]=0,"Pendiente",IF(Tabla2[[#This Row],[Fecha de Resp]]&lt;=Tabla2[[#This Row],[Fecha MAX de Resp]],"A Tiempo",0)))</f>
        <v>A Tiempo</v>
      </c>
      <c r="M373" s="44"/>
      <c r="N373" s="44"/>
      <c r="O373" s="48" t="b">
        <f>EXACT(Tabla2[[#This Row],[Fecha de Recibido]],Tabla2[[#This Row],[Fecha MAX de Resp]])</f>
        <v>0</v>
      </c>
      <c r="P373" s="48" t="b">
        <f>EXACT(Tabla2[[#This Row],[Fecha de Recibido]],Tabla2[[#This Row],[Fecha de Resp]])</f>
        <v>0</v>
      </c>
      <c r="Q373" s="45">
        <f>DATE(YEAR(Tabla2[[#This Row],[Fecha de Recibido]]),MONTH(Tabla2[[#This Row],[Fecha de Recibido]]),1)</f>
        <v>44835</v>
      </c>
      <c r="R373" s="45" t="s">
        <v>63</v>
      </c>
    </row>
    <row r="374" spans="1:18" s="42" customFormat="1" ht="36.75" customHeight="1">
      <c r="A374" s="63">
        <v>44846</v>
      </c>
      <c r="B374" s="42" t="s">
        <v>40</v>
      </c>
      <c r="C374" s="42" t="s">
        <v>1035</v>
      </c>
      <c r="D374" s="41">
        <v>44858</v>
      </c>
      <c r="E374" s="41">
        <v>44858</v>
      </c>
      <c r="G374" s="43" t="s">
        <v>1036</v>
      </c>
      <c r="H374" s="43"/>
      <c r="I374" s="43"/>
      <c r="J374" s="43" t="s">
        <v>3</v>
      </c>
      <c r="K374" s="43" t="s">
        <v>404</v>
      </c>
      <c r="L374" s="44" t="str">
        <f>IF(Tabla2[[#This Row],[Fecha de Resp]]&gt;Tabla2[[#This Row],[Fecha MAX de Resp]],"Retrasado",IF(Tabla2[[#This Row],[Fecha de Resp]]=0,"Pendiente",IF(Tabla2[[#This Row],[Fecha de Resp]]&lt;=Tabla2[[#This Row],[Fecha MAX de Resp]],"A Tiempo",0)))</f>
        <v>A Tiempo</v>
      </c>
      <c r="M374" s="44"/>
      <c r="N374" s="44"/>
      <c r="O374" s="48" t="b">
        <f>EXACT(Tabla2[[#This Row],[Fecha de Recibido]],Tabla2[[#This Row],[Fecha MAX de Resp]])</f>
        <v>0</v>
      </c>
      <c r="P374" s="48" t="b">
        <f>EXACT(Tabla2[[#This Row],[Fecha de Recibido]],Tabla2[[#This Row],[Fecha de Resp]])</f>
        <v>0</v>
      </c>
      <c r="Q374" s="45">
        <f>DATE(YEAR(Tabla2[[#This Row],[Fecha de Recibido]]),MONTH(Tabla2[[#This Row],[Fecha de Recibido]]),1)</f>
        <v>44835</v>
      </c>
      <c r="R374" s="45" t="s">
        <v>63</v>
      </c>
    </row>
    <row r="375" spans="1:18" s="42" customFormat="1" ht="36.75" customHeight="1">
      <c r="A375" s="63">
        <v>44846</v>
      </c>
      <c r="B375" s="42" t="s">
        <v>40</v>
      </c>
      <c r="C375" s="42" t="s">
        <v>1037</v>
      </c>
      <c r="D375" s="41">
        <v>44869</v>
      </c>
      <c r="E375" s="41">
        <v>44869</v>
      </c>
      <c r="G375" s="43" t="s">
        <v>1038</v>
      </c>
      <c r="H375" s="43"/>
      <c r="I375" s="43"/>
      <c r="J375" s="43" t="s">
        <v>3</v>
      </c>
      <c r="K375" s="43" t="s">
        <v>4</v>
      </c>
      <c r="L375" s="44" t="str">
        <f>IF(Tabla2[[#This Row],[Fecha de Resp]]&gt;Tabla2[[#This Row],[Fecha MAX de Resp]],"Retrasado",IF(Tabla2[[#This Row],[Fecha de Resp]]=0,"Pendiente",IF(Tabla2[[#This Row],[Fecha de Resp]]&lt;=Tabla2[[#This Row],[Fecha MAX de Resp]],"A Tiempo",0)))</f>
        <v>A Tiempo</v>
      </c>
      <c r="M375" s="44"/>
      <c r="N375" s="44"/>
      <c r="O375" s="48" t="b">
        <f>EXACT(Tabla2[[#This Row],[Fecha de Recibido]],Tabla2[[#This Row],[Fecha MAX de Resp]])</f>
        <v>0</v>
      </c>
      <c r="P375" s="48" t="b">
        <f>EXACT(Tabla2[[#This Row],[Fecha de Recibido]],Tabla2[[#This Row],[Fecha de Resp]])</f>
        <v>0</v>
      </c>
      <c r="Q375" s="45">
        <f>DATE(YEAR(Tabla2[[#This Row],[Fecha de Recibido]]),MONTH(Tabla2[[#This Row],[Fecha de Recibido]]),1)</f>
        <v>44835</v>
      </c>
      <c r="R375" s="45" t="s">
        <v>63</v>
      </c>
    </row>
    <row r="376" spans="1:18" s="42" customFormat="1" ht="36.75" customHeight="1">
      <c r="A376" s="63">
        <v>44846</v>
      </c>
      <c r="B376" s="42" t="s">
        <v>17</v>
      </c>
      <c r="C376" s="42" t="s">
        <v>1033</v>
      </c>
      <c r="D376" s="41">
        <v>44858</v>
      </c>
      <c r="E376" s="41">
        <v>44858</v>
      </c>
      <c r="G376" s="43" t="s">
        <v>1039</v>
      </c>
      <c r="H376" s="43"/>
      <c r="I376" s="43"/>
      <c r="J376" s="43" t="s">
        <v>3</v>
      </c>
      <c r="K376" s="43" t="s">
        <v>19</v>
      </c>
      <c r="L376" s="44" t="str">
        <f>IF(Tabla2[[#This Row],[Fecha de Resp]]&gt;Tabla2[[#This Row],[Fecha MAX de Resp]],"Retrasado",IF(Tabla2[[#This Row],[Fecha de Resp]]=0,"Pendiente",IF(Tabla2[[#This Row],[Fecha de Resp]]&lt;=Tabla2[[#This Row],[Fecha MAX de Resp]],"A Tiempo",0)))</f>
        <v>A Tiempo</v>
      </c>
      <c r="M376" s="44"/>
      <c r="N376" s="44"/>
      <c r="O376" s="48" t="b">
        <f>EXACT(Tabla2[[#This Row],[Fecha de Recibido]],Tabla2[[#This Row],[Fecha MAX de Resp]])</f>
        <v>0</v>
      </c>
      <c r="P376" s="48" t="b">
        <f>EXACT(Tabla2[[#This Row],[Fecha de Recibido]],Tabla2[[#This Row],[Fecha de Resp]])</f>
        <v>0</v>
      </c>
      <c r="Q376" s="45">
        <f>DATE(YEAR(Tabla2[[#This Row],[Fecha de Recibido]]),MONTH(Tabla2[[#This Row],[Fecha de Recibido]]),1)</f>
        <v>44835</v>
      </c>
      <c r="R376" s="45" t="s">
        <v>63</v>
      </c>
    </row>
    <row r="377" spans="1:18" s="42" customFormat="1" ht="36.75" customHeight="1">
      <c r="A377" s="63">
        <v>44838</v>
      </c>
      <c r="B377" s="42" t="s">
        <v>32</v>
      </c>
      <c r="C377" s="42" t="s">
        <v>1040</v>
      </c>
      <c r="D377" s="41">
        <v>44858</v>
      </c>
      <c r="E377" s="41">
        <v>44841</v>
      </c>
      <c r="F377" s="42" t="s">
        <v>1040</v>
      </c>
      <c r="G377" s="43"/>
      <c r="H377" s="43" t="s">
        <v>1041</v>
      </c>
      <c r="I377" s="43"/>
      <c r="J377" s="43" t="s">
        <v>3</v>
      </c>
      <c r="K377" s="43" t="s">
        <v>360</v>
      </c>
      <c r="L377" s="44" t="str">
        <f>IF(Tabla2[[#This Row],[Fecha de Resp]]&gt;Tabla2[[#This Row],[Fecha MAX de Resp]],"Retrasado",IF(Tabla2[[#This Row],[Fecha de Resp]]=0,"Pendiente",IF(Tabla2[[#This Row],[Fecha de Resp]]&lt;=Tabla2[[#This Row],[Fecha MAX de Resp]],"A Tiempo",0)))</f>
        <v>A Tiempo</v>
      </c>
      <c r="M377" s="44"/>
      <c r="N377" s="44"/>
      <c r="O377" s="48" t="b">
        <f>EXACT(Tabla2[[#This Row],[Fecha de Recibido]],Tabla2[[#This Row],[Fecha MAX de Resp]])</f>
        <v>0</v>
      </c>
      <c r="P377" s="48" t="b">
        <f>EXACT(Tabla2[[#This Row],[Fecha de Recibido]],Tabla2[[#This Row],[Fecha de Resp]])</f>
        <v>0</v>
      </c>
      <c r="Q377" s="45">
        <f>DATE(YEAR(Tabla2[[#This Row],[Fecha de Recibido]]),MONTH(Tabla2[[#This Row],[Fecha de Recibido]]),1)</f>
        <v>44835</v>
      </c>
      <c r="R377" s="45" t="s">
        <v>63</v>
      </c>
    </row>
    <row r="378" spans="1:18" s="42" customFormat="1" ht="36.75" customHeight="1">
      <c r="A378" s="63">
        <v>44833</v>
      </c>
      <c r="B378" s="42" t="s">
        <v>17</v>
      </c>
      <c r="C378" s="42" t="s">
        <v>1042</v>
      </c>
      <c r="D378" s="41">
        <v>44837</v>
      </c>
      <c r="E378" s="41">
        <v>44836</v>
      </c>
      <c r="F378" s="42" t="s">
        <v>1043</v>
      </c>
      <c r="G378" s="43" t="s">
        <v>1044</v>
      </c>
      <c r="H378" s="43" t="s">
        <v>1045</v>
      </c>
      <c r="I378" s="43"/>
      <c r="J378" s="43" t="s">
        <v>8</v>
      </c>
      <c r="K378" s="43" t="s">
        <v>4</v>
      </c>
      <c r="L378" s="44" t="str">
        <f>IF(Tabla2[[#This Row],[Fecha de Resp]]&gt;Tabla2[[#This Row],[Fecha MAX de Resp]],"Retrasado",IF(Tabla2[[#This Row],[Fecha de Resp]]=0,"Pendiente",IF(Tabla2[[#This Row],[Fecha de Resp]]&lt;=Tabla2[[#This Row],[Fecha MAX de Resp]],"A Tiempo",0)))</f>
        <v>A Tiempo</v>
      </c>
      <c r="M378" s="44"/>
      <c r="N378" s="44"/>
      <c r="O378" s="48" t="b">
        <f>EXACT(Tabla2[[#This Row],[Fecha de Recibido]],Tabla2[[#This Row],[Fecha MAX de Resp]])</f>
        <v>0</v>
      </c>
      <c r="P378" s="48" t="b">
        <f>EXACT(Tabla2[[#This Row],[Fecha de Recibido]],Tabla2[[#This Row],[Fecha de Resp]])</f>
        <v>0</v>
      </c>
      <c r="Q378" s="45">
        <f>DATE(YEAR(Tabla2[[#This Row],[Fecha de Recibido]]),MONTH(Tabla2[[#This Row],[Fecha de Recibido]]),1)</f>
        <v>44805</v>
      </c>
      <c r="R378" s="45" t="s">
        <v>63</v>
      </c>
    </row>
    <row r="379" spans="1:18" s="42" customFormat="1" ht="36.75" customHeight="1">
      <c r="A379" s="63">
        <v>44830</v>
      </c>
      <c r="B379" s="42" t="s">
        <v>17</v>
      </c>
      <c r="C379" s="42" t="s">
        <v>1046</v>
      </c>
      <c r="D379" s="41">
        <v>44837</v>
      </c>
      <c r="E379" s="41">
        <v>44834</v>
      </c>
      <c r="F379" s="42" t="s">
        <v>1047</v>
      </c>
      <c r="G379" s="43" t="s">
        <v>1048</v>
      </c>
      <c r="H379" s="43" t="s">
        <v>1049</v>
      </c>
      <c r="I379" s="43"/>
      <c r="J379" s="43" t="s">
        <v>14</v>
      </c>
      <c r="K379" s="43" t="s">
        <v>4</v>
      </c>
      <c r="L379" s="44" t="str">
        <f>IF(Tabla2[[#This Row],[Fecha de Resp]]&gt;Tabla2[[#This Row],[Fecha MAX de Resp]],"Retrasado",IF(Tabla2[[#This Row],[Fecha de Resp]]=0,"Pendiente",IF(Tabla2[[#This Row],[Fecha de Resp]]&lt;=Tabla2[[#This Row],[Fecha MAX de Resp]],"A Tiempo",0)))</f>
        <v>A Tiempo</v>
      </c>
      <c r="M379" s="44"/>
      <c r="N379" s="44"/>
      <c r="O379" s="48" t="b">
        <f>EXACT(Tabla2[[#This Row],[Fecha de Recibido]],Tabla2[[#This Row],[Fecha MAX de Resp]])</f>
        <v>0</v>
      </c>
      <c r="P379" s="48" t="b">
        <f>EXACT(Tabla2[[#This Row],[Fecha de Recibido]],Tabla2[[#This Row],[Fecha de Resp]])</f>
        <v>0</v>
      </c>
      <c r="Q379" s="45">
        <f>DATE(YEAR(Tabla2[[#This Row],[Fecha de Recibido]]),MONTH(Tabla2[[#This Row],[Fecha de Recibido]]),1)</f>
        <v>44805</v>
      </c>
      <c r="R379" s="45" t="s">
        <v>63</v>
      </c>
    </row>
    <row r="380" spans="1:18" s="42" customFormat="1" ht="36.75" customHeight="1">
      <c r="A380" s="63">
        <v>44827</v>
      </c>
      <c r="B380" s="42" t="s">
        <v>17</v>
      </c>
      <c r="C380" s="42" t="s">
        <v>1050</v>
      </c>
      <c r="D380" s="41">
        <v>44834</v>
      </c>
      <c r="E380" s="41">
        <v>44834</v>
      </c>
      <c r="F380" s="42" t="s">
        <v>1051</v>
      </c>
      <c r="G380" s="43" t="s">
        <v>1052</v>
      </c>
      <c r="H380" s="43" t="s">
        <v>1053</v>
      </c>
      <c r="I380" s="43"/>
      <c r="J380" s="43" t="s">
        <v>3</v>
      </c>
      <c r="K380" s="43" t="s">
        <v>352</v>
      </c>
      <c r="L380" s="44" t="str">
        <f>IF(Tabla2[[#This Row],[Fecha de Resp]]&gt;Tabla2[[#This Row],[Fecha MAX de Resp]],"Retrasado",IF(Tabla2[[#This Row],[Fecha de Resp]]=0,"Pendiente",IF(Tabla2[[#This Row],[Fecha de Resp]]&lt;=Tabla2[[#This Row],[Fecha MAX de Resp]],"A Tiempo",0)))</f>
        <v>A Tiempo</v>
      </c>
      <c r="M380" s="44"/>
      <c r="N380" s="44"/>
      <c r="O380" s="48" t="b">
        <f>EXACT(Tabla2[[#This Row],[Fecha de Recibido]],Tabla2[[#This Row],[Fecha MAX de Resp]])</f>
        <v>0</v>
      </c>
      <c r="P380" s="48" t="b">
        <f>EXACT(Tabla2[[#This Row],[Fecha de Recibido]],Tabla2[[#This Row],[Fecha de Resp]])</f>
        <v>0</v>
      </c>
      <c r="Q380" s="45">
        <f>DATE(YEAR(Tabla2[[#This Row],[Fecha de Recibido]]),MONTH(Tabla2[[#This Row],[Fecha de Recibido]]),1)</f>
        <v>44805</v>
      </c>
      <c r="R380" s="45" t="s">
        <v>63</v>
      </c>
    </row>
    <row r="381" spans="1:18" s="42" customFormat="1" ht="36.75" customHeight="1">
      <c r="A381" s="63">
        <v>44826</v>
      </c>
      <c r="B381" s="42" t="s">
        <v>17</v>
      </c>
      <c r="C381" s="42" t="s">
        <v>1054</v>
      </c>
      <c r="D381" s="41">
        <v>44838</v>
      </c>
      <c r="E381" s="41">
        <v>44830</v>
      </c>
      <c r="F381" s="42" t="s">
        <v>1055</v>
      </c>
      <c r="G381" s="43" t="s">
        <v>1056</v>
      </c>
      <c r="H381" s="43" t="s">
        <v>1057</v>
      </c>
      <c r="I381" s="43"/>
      <c r="J381" s="43" t="s">
        <v>3</v>
      </c>
      <c r="K381" s="43" t="s">
        <v>19</v>
      </c>
      <c r="L381" s="44" t="str">
        <f>IF(Tabla2[[#This Row],[Fecha de Resp]]&gt;Tabla2[[#This Row],[Fecha MAX de Resp]],"Retrasado",IF(Tabla2[[#This Row],[Fecha de Resp]]=0,"Pendiente",IF(Tabla2[[#This Row],[Fecha de Resp]]&lt;=Tabla2[[#This Row],[Fecha MAX de Resp]],"A Tiempo",0)))</f>
        <v>A Tiempo</v>
      </c>
      <c r="M381" s="44"/>
      <c r="N381" s="44"/>
      <c r="O381" s="48" t="b">
        <f>EXACT(Tabla2[[#This Row],[Fecha de Recibido]],Tabla2[[#This Row],[Fecha MAX de Resp]])</f>
        <v>0</v>
      </c>
      <c r="P381" s="48" t="b">
        <f>EXACT(Tabla2[[#This Row],[Fecha de Recibido]],Tabla2[[#This Row],[Fecha de Resp]])</f>
        <v>0</v>
      </c>
      <c r="Q381" s="45">
        <f>DATE(YEAR(Tabla2[[#This Row],[Fecha de Recibido]]),MONTH(Tabla2[[#This Row],[Fecha de Recibido]]),1)</f>
        <v>44805</v>
      </c>
      <c r="R381" s="45" t="s">
        <v>63</v>
      </c>
    </row>
    <row r="382" spans="1:18" s="42" customFormat="1" ht="36.75" customHeight="1">
      <c r="A382" s="63">
        <v>44825</v>
      </c>
      <c r="B382" s="42" t="s">
        <v>32</v>
      </c>
      <c r="C382" s="42" t="s">
        <v>1058</v>
      </c>
      <c r="D382" s="41">
        <v>44830</v>
      </c>
      <c r="E382" s="41">
        <v>44830</v>
      </c>
      <c r="F382" s="42" t="s">
        <v>1059</v>
      </c>
      <c r="G382" s="43"/>
      <c r="H382" s="43" t="s">
        <v>1060</v>
      </c>
      <c r="I382" s="43"/>
      <c r="J382" s="43" t="s">
        <v>3</v>
      </c>
      <c r="K382" s="43" t="s">
        <v>12</v>
      </c>
      <c r="L382" s="44" t="str">
        <f>IF(Tabla2[[#This Row],[Fecha de Resp]]&gt;Tabla2[[#This Row],[Fecha MAX de Resp]],"Retrasado",IF(Tabla2[[#This Row],[Fecha de Resp]]=0,"Pendiente",IF(Tabla2[[#This Row],[Fecha de Resp]]&lt;=Tabla2[[#This Row],[Fecha MAX de Resp]],"A Tiempo",0)))</f>
        <v>A Tiempo</v>
      </c>
      <c r="M382" s="44"/>
      <c r="N382" s="44"/>
      <c r="O382" s="48" t="b">
        <f>EXACT(Tabla2[[#This Row],[Fecha de Recibido]],Tabla2[[#This Row],[Fecha MAX de Resp]])</f>
        <v>0</v>
      </c>
      <c r="P382" s="48" t="b">
        <f>EXACT(Tabla2[[#This Row],[Fecha de Recibido]],Tabla2[[#This Row],[Fecha de Resp]])</f>
        <v>0</v>
      </c>
      <c r="Q382" s="45">
        <f>DATE(YEAR(Tabla2[[#This Row],[Fecha de Recibido]]),MONTH(Tabla2[[#This Row],[Fecha de Recibido]]),1)</f>
        <v>44805</v>
      </c>
      <c r="R382" s="45" t="s">
        <v>63</v>
      </c>
    </row>
    <row r="383" spans="1:18" s="42" customFormat="1" ht="36.75" customHeight="1">
      <c r="A383" s="63">
        <v>44824</v>
      </c>
      <c r="B383" s="42" t="s">
        <v>32</v>
      </c>
      <c r="C383" s="42" t="s">
        <v>1061</v>
      </c>
      <c r="D383" s="41">
        <v>44838</v>
      </c>
      <c r="E383" s="41">
        <v>44838</v>
      </c>
      <c r="F383" s="42" t="s">
        <v>1062</v>
      </c>
      <c r="G383" s="43" t="s">
        <v>1063</v>
      </c>
      <c r="H383" s="43" t="s">
        <v>1064</v>
      </c>
      <c r="I383" s="43"/>
      <c r="J383" s="43" t="s">
        <v>11</v>
      </c>
      <c r="K383" s="43" t="s">
        <v>352</v>
      </c>
      <c r="L383" s="44" t="str">
        <f>IF(Tabla2[[#This Row],[Fecha de Resp]]&gt;Tabla2[[#This Row],[Fecha MAX de Resp]],"Retrasado",IF(Tabla2[[#This Row],[Fecha de Resp]]=0,"Pendiente",IF(Tabla2[[#This Row],[Fecha de Resp]]&lt;=Tabla2[[#This Row],[Fecha MAX de Resp]],"A Tiempo",0)))</f>
        <v>A Tiempo</v>
      </c>
      <c r="M383" s="44"/>
      <c r="N383" s="44"/>
      <c r="O383" s="48" t="b">
        <f>EXACT(Tabla2[[#This Row],[Fecha de Recibido]],Tabla2[[#This Row],[Fecha MAX de Resp]])</f>
        <v>0</v>
      </c>
      <c r="P383" s="48" t="b">
        <f>EXACT(Tabla2[[#This Row],[Fecha de Recibido]],Tabla2[[#This Row],[Fecha de Resp]])</f>
        <v>0</v>
      </c>
      <c r="Q383" s="45">
        <f>DATE(YEAR(Tabla2[[#This Row],[Fecha de Recibido]]),MONTH(Tabla2[[#This Row],[Fecha de Recibido]]),1)</f>
        <v>44805</v>
      </c>
      <c r="R383" s="45" t="s">
        <v>63</v>
      </c>
    </row>
    <row r="384" spans="1:18" s="42" customFormat="1" ht="36.75" customHeight="1">
      <c r="A384" s="63">
        <v>44824</v>
      </c>
      <c r="B384" s="42" t="s">
        <v>32</v>
      </c>
      <c r="C384" s="42" t="s">
        <v>1065</v>
      </c>
      <c r="D384" s="41">
        <v>44838</v>
      </c>
      <c r="E384" s="41">
        <v>44838</v>
      </c>
      <c r="F384" s="42" t="s">
        <v>1062</v>
      </c>
      <c r="G384" s="43"/>
      <c r="H384" s="43" t="s">
        <v>1066</v>
      </c>
      <c r="I384" s="43"/>
      <c r="J384" s="43" t="s">
        <v>14</v>
      </c>
      <c r="K384" s="43" t="s">
        <v>352</v>
      </c>
      <c r="L384" s="44" t="str">
        <f>IF(Tabla2[[#This Row],[Fecha de Resp]]&gt;Tabla2[[#This Row],[Fecha MAX de Resp]],"Retrasado",IF(Tabla2[[#This Row],[Fecha de Resp]]=0,"Pendiente",IF(Tabla2[[#This Row],[Fecha de Resp]]&lt;=Tabla2[[#This Row],[Fecha MAX de Resp]],"A Tiempo",0)))</f>
        <v>A Tiempo</v>
      </c>
      <c r="M384" s="44"/>
      <c r="N384" s="44"/>
      <c r="O384" s="48" t="b">
        <f>EXACT(Tabla2[[#This Row],[Fecha de Recibido]],Tabla2[[#This Row],[Fecha MAX de Resp]])</f>
        <v>0</v>
      </c>
      <c r="P384" s="48" t="b">
        <f>EXACT(Tabla2[[#This Row],[Fecha de Recibido]],Tabla2[[#This Row],[Fecha de Resp]])</f>
        <v>0</v>
      </c>
      <c r="Q384" s="45">
        <f>DATE(YEAR(Tabla2[[#This Row],[Fecha de Recibido]]),MONTH(Tabla2[[#This Row],[Fecha de Recibido]]),1)</f>
        <v>44805</v>
      </c>
      <c r="R384" s="45" t="s">
        <v>63</v>
      </c>
    </row>
    <row r="385" spans="1:18" s="42" customFormat="1" ht="36.75" customHeight="1">
      <c r="A385" s="63">
        <v>44823</v>
      </c>
      <c r="B385" s="42" t="s">
        <v>17</v>
      </c>
      <c r="C385" s="42" t="s">
        <v>1067</v>
      </c>
      <c r="D385" s="41">
        <v>44825</v>
      </c>
      <c r="E385" s="41">
        <v>44824</v>
      </c>
      <c r="F385" s="42" t="s">
        <v>1068</v>
      </c>
      <c r="G385" s="43" t="s">
        <v>1069</v>
      </c>
      <c r="H385" s="43" t="s">
        <v>1070</v>
      </c>
      <c r="I385" s="43"/>
      <c r="J385" s="43" t="s">
        <v>3</v>
      </c>
      <c r="K385" s="43" t="s">
        <v>12</v>
      </c>
      <c r="L385" s="44" t="str">
        <f>IF(Tabla2[[#This Row],[Fecha de Resp]]&gt;Tabla2[[#This Row],[Fecha MAX de Resp]],"Retrasado",IF(Tabla2[[#This Row],[Fecha de Resp]]=0,"Pendiente",IF(Tabla2[[#This Row],[Fecha de Resp]]&lt;=Tabla2[[#This Row],[Fecha MAX de Resp]],"A Tiempo",0)))</f>
        <v>A Tiempo</v>
      </c>
      <c r="M385" s="44"/>
      <c r="N385" s="44"/>
      <c r="O385" s="48" t="b">
        <f>EXACT(Tabla2[[#This Row],[Fecha de Recibido]],Tabla2[[#This Row],[Fecha MAX de Resp]])</f>
        <v>0</v>
      </c>
      <c r="P385" s="48" t="b">
        <f>EXACT(Tabla2[[#This Row],[Fecha de Recibido]],Tabla2[[#This Row],[Fecha de Resp]])</f>
        <v>0</v>
      </c>
      <c r="Q385" s="45">
        <f>DATE(YEAR(Tabla2[[#This Row],[Fecha de Recibido]]),MONTH(Tabla2[[#This Row],[Fecha de Recibido]]),1)</f>
        <v>44805</v>
      </c>
      <c r="R385" s="45" t="s">
        <v>63</v>
      </c>
    </row>
    <row r="386" spans="1:18" s="42" customFormat="1" ht="36.75" customHeight="1">
      <c r="A386" s="63">
        <v>44820</v>
      </c>
      <c r="B386" s="42" t="s">
        <v>17</v>
      </c>
      <c r="C386" s="42" t="s">
        <v>1071</v>
      </c>
      <c r="D386" s="41">
        <v>44820</v>
      </c>
      <c r="E386" s="41">
        <v>44820</v>
      </c>
      <c r="G386" s="43"/>
      <c r="H386" s="43" t="s">
        <v>1072</v>
      </c>
      <c r="I386" s="43"/>
      <c r="J386" s="43" t="s">
        <v>3</v>
      </c>
      <c r="K386" s="43" t="s">
        <v>360</v>
      </c>
      <c r="L386" s="44" t="str">
        <f>IF(Tabla2[[#This Row],[Fecha de Resp]]&gt;Tabla2[[#This Row],[Fecha MAX de Resp]],"Retrasado",IF(Tabla2[[#This Row],[Fecha de Resp]]=0,"Pendiente",IF(Tabla2[[#This Row],[Fecha de Resp]]&lt;=Tabla2[[#This Row],[Fecha MAX de Resp]],"A Tiempo",0)))</f>
        <v>A Tiempo</v>
      </c>
      <c r="M386" s="44"/>
      <c r="N386" s="44"/>
      <c r="O386" s="43" t="b">
        <f>EXACT(Tabla2[[#This Row],[Fecha de Recibido]],Tabla2[[#This Row],[Fecha MAX de Resp]])</f>
        <v>1</v>
      </c>
      <c r="P386" s="43" t="b">
        <f>EXACT(Tabla2[[#This Row],[Fecha de Recibido]],Tabla2[[#This Row],[Fecha de Resp]])</f>
        <v>1</v>
      </c>
      <c r="Q386" s="45">
        <f>DATE(YEAR(Tabla2[[#This Row],[Fecha de Recibido]]),MONTH(Tabla2[[#This Row],[Fecha de Recibido]]),1)</f>
        <v>44805</v>
      </c>
      <c r="R386" s="45" t="s">
        <v>63</v>
      </c>
    </row>
    <row r="387" spans="1:18" s="42" customFormat="1" ht="36.75" customHeight="1">
      <c r="A387" s="63">
        <v>44818</v>
      </c>
      <c r="B387" s="42" t="s">
        <v>17</v>
      </c>
      <c r="C387" s="42" t="s">
        <v>1073</v>
      </c>
      <c r="D387" s="41">
        <v>44825</v>
      </c>
      <c r="E387" s="41">
        <v>44825</v>
      </c>
      <c r="F387" s="42" t="s">
        <v>1074</v>
      </c>
      <c r="G387" s="43" t="s">
        <v>1075</v>
      </c>
      <c r="H387" s="43" t="s">
        <v>1076</v>
      </c>
      <c r="I387" s="43"/>
      <c r="J387" s="43" t="s">
        <v>3</v>
      </c>
      <c r="K387" s="43" t="s">
        <v>12</v>
      </c>
      <c r="L387" s="44" t="str">
        <f>IF(Tabla2[[#This Row],[Fecha de Resp]]&gt;Tabla2[[#This Row],[Fecha MAX de Resp]],"Retrasado",IF(Tabla2[[#This Row],[Fecha de Resp]]=0,"Pendiente",IF(Tabla2[[#This Row],[Fecha de Resp]]&lt;=Tabla2[[#This Row],[Fecha MAX de Resp]],"A Tiempo",0)))</f>
        <v>A Tiempo</v>
      </c>
      <c r="M387" s="44"/>
      <c r="N387" s="44"/>
      <c r="O387" s="48" t="b">
        <f>EXACT(Tabla2[[#This Row],[Fecha de Recibido]],Tabla2[[#This Row],[Fecha MAX de Resp]])</f>
        <v>0</v>
      </c>
      <c r="P387" s="48" t="b">
        <f>EXACT(Tabla2[[#This Row],[Fecha de Recibido]],Tabla2[[#This Row],[Fecha de Resp]])</f>
        <v>0</v>
      </c>
      <c r="Q387" s="45">
        <f>DATE(YEAR(Tabla2[[#This Row],[Fecha de Recibido]]),MONTH(Tabla2[[#This Row],[Fecha de Recibido]]),1)</f>
        <v>44805</v>
      </c>
      <c r="R387" s="45" t="s">
        <v>63</v>
      </c>
    </row>
    <row r="388" spans="1:18" s="42" customFormat="1" ht="36.75" customHeight="1">
      <c r="A388" s="63">
        <v>44818</v>
      </c>
      <c r="B388" s="42" t="s">
        <v>17</v>
      </c>
      <c r="C388" s="42" t="s">
        <v>1073</v>
      </c>
      <c r="D388" s="41">
        <v>44825</v>
      </c>
      <c r="E388" s="41">
        <v>44825</v>
      </c>
      <c r="F388" s="42" t="s">
        <v>1074</v>
      </c>
      <c r="G388" s="43" t="s">
        <v>1075</v>
      </c>
      <c r="H388" s="43" t="s">
        <v>1076</v>
      </c>
      <c r="I388" s="43"/>
      <c r="J388" s="43" t="s">
        <v>14</v>
      </c>
      <c r="K388" s="43" t="s">
        <v>12</v>
      </c>
      <c r="L388" s="44" t="str">
        <f>IF(Tabla2[[#This Row],[Fecha de Resp]]&gt;Tabla2[[#This Row],[Fecha MAX de Resp]],"Retrasado",IF(Tabla2[[#This Row],[Fecha de Resp]]=0,"Pendiente",IF(Tabla2[[#This Row],[Fecha de Resp]]&lt;=Tabla2[[#This Row],[Fecha MAX de Resp]],"A Tiempo",0)))</f>
        <v>A Tiempo</v>
      </c>
      <c r="M388" s="44"/>
      <c r="N388" s="44"/>
      <c r="O388" s="48" t="b">
        <f>EXACT(Tabla2[[#This Row],[Fecha de Recibido]],Tabla2[[#This Row],[Fecha MAX de Resp]])</f>
        <v>0</v>
      </c>
      <c r="P388" s="48" t="b">
        <f>EXACT(Tabla2[[#This Row],[Fecha de Recibido]],Tabla2[[#This Row],[Fecha de Resp]])</f>
        <v>0</v>
      </c>
      <c r="Q388" s="45">
        <f>DATE(YEAR(Tabla2[[#This Row],[Fecha de Recibido]]),MONTH(Tabla2[[#This Row],[Fecha de Recibido]]),1)</f>
        <v>44805</v>
      </c>
      <c r="R388" s="45" t="s">
        <v>63</v>
      </c>
    </row>
    <row r="389" spans="1:18" s="42" customFormat="1" ht="36.75" customHeight="1">
      <c r="A389" s="63">
        <v>44818</v>
      </c>
      <c r="B389" s="42" t="s">
        <v>17</v>
      </c>
      <c r="C389" s="42" t="s">
        <v>1073</v>
      </c>
      <c r="D389" s="41">
        <v>44825</v>
      </c>
      <c r="E389" s="41">
        <v>44825</v>
      </c>
      <c r="F389" s="42" t="s">
        <v>1074</v>
      </c>
      <c r="G389" s="43" t="s">
        <v>1075</v>
      </c>
      <c r="H389" s="43" t="s">
        <v>1077</v>
      </c>
      <c r="I389" s="43"/>
      <c r="J389" s="43" t="s">
        <v>11</v>
      </c>
      <c r="K389" s="43" t="s">
        <v>12</v>
      </c>
      <c r="L389" s="44" t="str">
        <f>IF(Tabla2[[#This Row],[Fecha de Resp]]&gt;Tabla2[[#This Row],[Fecha MAX de Resp]],"Retrasado",IF(Tabla2[[#This Row],[Fecha de Resp]]=0,"Pendiente",IF(Tabla2[[#This Row],[Fecha de Resp]]&lt;=Tabla2[[#This Row],[Fecha MAX de Resp]],"A Tiempo",0)))</f>
        <v>A Tiempo</v>
      </c>
      <c r="M389" s="44"/>
      <c r="N389" s="44"/>
      <c r="O389" s="48" t="b">
        <f>EXACT(Tabla2[[#This Row],[Fecha de Recibido]],Tabla2[[#This Row],[Fecha MAX de Resp]])</f>
        <v>0</v>
      </c>
      <c r="P389" s="48" t="b">
        <f>EXACT(Tabla2[[#This Row],[Fecha de Recibido]],Tabla2[[#This Row],[Fecha de Resp]])</f>
        <v>0</v>
      </c>
      <c r="Q389" s="45">
        <f>DATE(YEAR(Tabla2[[#This Row],[Fecha de Recibido]]),MONTH(Tabla2[[#This Row],[Fecha de Recibido]]),1)</f>
        <v>44805</v>
      </c>
      <c r="R389" s="45" t="s">
        <v>63</v>
      </c>
    </row>
    <row r="390" spans="1:18" s="42" customFormat="1" ht="36.75" customHeight="1">
      <c r="A390" s="63">
        <v>44818</v>
      </c>
      <c r="B390" s="42" t="s">
        <v>17</v>
      </c>
      <c r="C390" s="42" t="s">
        <v>1073</v>
      </c>
      <c r="D390" s="41">
        <v>44825</v>
      </c>
      <c r="E390" s="41">
        <v>44825</v>
      </c>
      <c r="F390" s="42" t="s">
        <v>1074</v>
      </c>
      <c r="G390" s="43" t="s">
        <v>1075</v>
      </c>
      <c r="H390" s="43" t="s">
        <v>1078</v>
      </c>
      <c r="I390" s="43"/>
      <c r="J390" s="43" t="s">
        <v>8</v>
      </c>
      <c r="K390" s="43" t="s">
        <v>12</v>
      </c>
      <c r="L390" s="44" t="str">
        <f>IF(Tabla2[[#This Row],[Fecha de Resp]]&gt;Tabla2[[#This Row],[Fecha MAX de Resp]],"Retrasado",IF(Tabla2[[#This Row],[Fecha de Resp]]=0,"Pendiente",IF(Tabla2[[#This Row],[Fecha de Resp]]&lt;=Tabla2[[#This Row],[Fecha MAX de Resp]],"A Tiempo",0)))</f>
        <v>A Tiempo</v>
      </c>
      <c r="M390" s="44"/>
      <c r="N390" s="44"/>
      <c r="O390" s="48" t="b">
        <f>EXACT(Tabla2[[#This Row],[Fecha de Recibido]],Tabla2[[#This Row],[Fecha MAX de Resp]])</f>
        <v>0</v>
      </c>
      <c r="P390" s="48" t="b">
        <f>EXACT(Tabla2[[#This Row],[Fecha de Recibido]],Tabla2[[#This Row],[Fecha de Resp]])</f>
        <v>0</v>
      </c>
      <c r="Q390" s="45">
        <f>DATE(YEAR(Tabla2[[#This Row],[Fecha de Recibido]]),MONTH(Tabla2[[#This Row],[Fecha de Recibido]]),1)</f>
        <v>44805</v>
      </c>
      <c r="R390" s="45" t="s">
        <v>63</v>
      </c>
    </row>
    <row r="391" spans="1:18" s="42" customFormat="1" ht="36.75" customHeight="1">
      <c r="A391" s="63">
        <v>44806</v>
      </c>
      <c r="B391" s="42" t="s">
        <v>37</v>
      </c>
      <c r="C391" s="42" t="s">
        <v>1079</v>
      </c>
      <c r="D391" s="41">
        <v>44827</v>
      </c>
      <c r="E391" s="41">
        <v>44827</v>
      </c>
      <c r="F391" s="42" t="s">
        <v>1080</v>
      </c>
      <c r="G391" s="43" t="s">
        <v>1081</v>
      </c>
      <c r="H391" s="43" t="s">
        <v>1082</v>
      </c>
      <c r="I391" s="43" t="s">
        <v>1083</v>
      </c>
      <c r="J391" s="43" t="s">
        <v>3</v>
      </c>
      <c r="K391" s="43" t="s">
        <v>360</v>
      </c>
      <c r="L391" s="44" t="str">
        <f>IF(Tabla2[[#This Row],[Fecha de Resp]]&gt;Tabla2[[#This Row],[Fecha MAX de Resp]],"Retrasado",IF(Tabla2[[#This Row],[Fecha de Resp]]=0,"Pendiente",IF(Tabla2[[#This Row],[Fecha de Resp]]&lt;=Tabla2[[#This Row],[Fecha MAX de Resp]],"A Tiempo",0)))</f>
        <v>A Tiempo</v>
      </c>
      <c r="M391" s="44"/>
      <c r="N391" s="44"/>
      <c r="O391" s="48" t="b">
        <f>EXACT(Tabla2[[#This Row],[Fecha de Recibido]],Tabla2[[#This Row],[Fecha MAX de Resp]])</f>
        <v>0</v>
      </c>
      <c r="P391" s="48" t="b">
        <f>EXACT(Tabla2[[#This Row],[Fecha de Recibido]],Tabla2[[#This Row],[Fecha de Resp]])</f>
        <v>0</v>
      </c>
      <c r="Q391" s="45">
        <f>DATE(YEAR(Tabla2[[#This Row],[Fecha de Recibido]]),MONTH(Tabla2[[#This Row],[Fecha de Recibido]]),1)</f>
        <v>44805</v>
      </c>
      <c r="R391" s="45" t="s">
        <v>63</v>
      </c>
    </row>
    <row r="392" spans="1:18" s="42" customFormat="1" ht="36.75" customHeight="1">
      <c r="A392" s="63">
        <v>44806</v>
      </c>
      <c r="B392" s="42" t="s">
        <v>37</v>
      </c>
      <c r="C392" s="42" t="s">
        <v>1084</v>
      </c>
      <c r="D392" s="41">
        <v>44827</v>
      </c>
      <c r="E392" s="41">
        <v>44827</v>
      </c>
      <c r="F392" s="42" t="s">
        <v>1080</v>
      </c>
      <c r="G392" s="43" t="s">
        <v>1081</v>
      </c>
      <c r="H392" s="43" t="s">
        <v>1085</v>
      </c>
      <c r="I392" s="43" t="s">
        <v>1086</v>
      </c>
      <c r="J392" s="43" t="s">
        <v>3</v>
      </c>
      <c r="K392" s="43" t="s">
        <v>360</v>
      </c>
      <c r="L392" s="44" t="str">
        <f>IF(Tabla2[[#This Row],[Fecha de Resp]]&gt;Tabla2[[#This Row],[Fecha MAX de Resp]],"Retrasado",IF(Tabla2[[#This Row],[Fecha de Resp]]=0,"Pendiente",IF(Tabla2[[#This Row],[Fecha de Resp]]&lt;=Tabla2[[#This Row],[Fecha MAX de Resp]],"A Tiempo",0)))</f>
        <v>A Tiempo</v>
      </c>
      <c r="M392" s="44"/>
      <c r="N392" s="44"/>
      <c r="O392" s="48" t="b">
        <f>EXACT(Tabla2[[#This Row],[Fecha de Recibido]],Tabla2[[#This Row],[Fecha MAX de Resp]])</f>
        <v>0</v>
      </c>
      <c r="P392" s="48" t="b">
        <f>EXACT(Tabla2[[#This Row],[Fecha de Recibido]],Tabla2[[#This Row],[Fecha de Resp]])</f>
        <v>0</v>
      </c>
      <c r="Q392" s="45">
        <f>DATE(YEAR(Tabla2[[#This Row],[Fecha de Recibido]]),MONTH(Tabla2[[#This Row],[Fecha de Recibido]]),1)</f>
        <v>44805</v>
      </c>
      <c r="R392" s="45" t="s">
        <v>63</v>
      </c>
    </row>
    <row r="393" spans="1:18" s="42" customFormat="1" ht="36.75" customHeight="1">
      <c r="A393" s="63">
        <v>44797</v>
      </c>
      <c r="B393" s="42" t="s">
        <v>41</v>
      </c>
      <c r="C393" s="42" t="s">
        <v>1087</v>
      </c>
      <c r="D393" s="41">
        <v>44797</v>
      </c>
      <c r="E393" s="41">
        <v>44797</v>
      </c>
      <c r="F393" s="42" t="s">
        <v>1088</v>
      </c>
      <c r="G393" s="43" t="s">
        <v>1089</v>
      </c>
      <c r="H393" s="43"/>
      <c r="I393" s="43"/>
      <c r="J393" s="43" t="s">
        <v>11</v>
      </c>
      <c r="K393" s="43" t="s">
        <v>360</v>
      </c>
      <c r="L393" s="44" t="str">
        <f>IF(Tabla2[[#This Row],[Fecha de Resp]]&gt;Tabla2[[#This Row],[Fecha MAX de Resp]],"Retrasado",IF(Tabla2[[#This Row],[Fecha de Resp]]=0,"Pendiente",IF(Tabla2[[#This Row],[Fecha de Resp]]&lt;=Tabla2[[#This Row],[Fecha MAX de Resp]],"A Tiempo",0)))</f>
        <v>A Tiempo</v>
      </c>
      <c r="M393" s="44"/>
      <c r="N393" s="44"/>
      <c r="O393" s="48" t="b">
        <f>EXACT(Tabla2[[#This Row],[Fecha de Recibido]],Tabla2[[#This Row],[Fecha MAX de Resp]])</f>
        <v>1</v>
      </c>
      <c r="P393" s="48" t="b">
        <f>EXACT(Tabla2[[#This Row],[Fecha de Recibido]],Tabla2[[#This Row],[Fecha de Resp]])</f>
        <v>1</v>
      </c>
      <c r="Q393" s="45">
        <f>DATE(YEAR(Tabla2[[#This Row],[Fecha de Recibido]]),MONTH(Tabla2[[#This Row],[Fecha de Recibido]]),1)</f>
        <v>44774</v>
      </c>
      <c r="R393" s="45" t="s">
        <v>63</v>
      </c>
    </row>
    <row r="394" spans="1:18" s="42" customFormat="1" ht="36.75" customHeight="1">
      <c r="A394" s="63">
        <v>44797</v>
      </c>
      <c r="B394" s="42" t="s">
        <v>41</v>
      </c>
      <c r="C394" s="42" t="s">
        <v>1090</v>
      </c>
      <c r="D394" s="41">
        <v>44797</v>
      </c>
      <c r="E394" s="41">
        <v>44797</v>
      </c>
      <c r="F394" s="42" t="s">
        <v>1091</v>
      </c>
      <c r="G394" s="43" t="s">
        <v>1092</v>
      </c>
      <c r="H394" s="43"/>
      <c r="I394" s="43"/>
      <c r="J394" s="43" t="s">
        <v>3</v>
      </c>
      <c r="K394" s="43" t="s">
        <v>360</v>
      </c>
      <c r="L394" s="44" t="str">
        <f>IF(Tabla2[[#This Row],[Fecha de Resp]]&gt;Tabla2[[#This Row],[Fecha MAX de Resp]],"Retrasado",IF(Tabla2[[#This Row],[Fecha de Resp]]=0,"Pendiente",IF(Tabla2[[#This Row],[Fecha de Resp]]&lt;=Tabla2[[#This Row],[Fecha MAX de Resp]],"A Tiempo",0)))</f>
        <v>A Tiempo</v>
      </c>
      <c r="M394" s="44"/>
      <c r="N394" s="44"/>
      <c r="O394" s="48" t="b">
        <f>EXACT(Tabla2[[#This Row],[Fecha de Recibido]],Tabla2[[#This Row],[Fecha MAX de Resp]])</f>
        <v>1</v>
      </c>
      <c r="P394" s="48" t="b">
        <f>EXACT(Tabla2[[#This Row],[Fecha de Recibido]],Tabla2[[#This Row],[Fecha de Resp]])</f>
        <v>1</v>
      </c>
      <c r="Q394" s="45">
        <f>DATE(YEAR(Tabla2[[#This Row],[Fecha de Recibido]]),MONTH(Tabla2[[#This Row],[Fecha de Recibido]]),1)</f>
        <v>44774</v>
      </c>
      <c r="R394" s="45" t="s">
        <v>63</v>
      </c>
    </row>
    <row r="395" spans="1:18" s="42" customFormat="1" ht="36.75" customHeight="1">
      <c r="A395" s="63">
        <v>44797</v>
      </c>
      <c r="B395" s="42" t="s">
        <v>41</v>
      </c>
      <c r="C395" s="42" t="s">
        <v>1093</v>
      </c>
      <c r="D395" s="41">
        <v>44797</v>
      </c>
      <c r="E395" s="41">
        <v>44797</v>
      </c>
      <c r="F395" s="42" t="s">
        <v>1094</v>
      </c>
      <c r="G395" s="43" t="s">
        <v>1095</v>
      </c>
      <c r="H395" s="43"/>
      <c r="I395" s="43"/>
      <c r="J395" s="43" t="s">
        <v>3</v>
      </c>
      <c r="K395" s="43" t="s">
        <v>360</v>
      </c>
      <c r="L395" s="44" t="str">
        <f>IF(Tabla2[[#This Row],[Fecha de Resp]]&gt;Tabla2[[#This Row],[Fecha MAX de Resp]],"Retrasado",IF(Tabla2[[#This Row],[Fecha de Resp]]=0,"Pendiente",IF(Tabla2[[#This Row],[Fecha de Resp]]&lt;=Tabla2[[#This Row],[Fecha MAX de Resp]],"A Tiempo",0)))</f>
        <v>A Tiempo</v>
      </c>
      <c r="M395" s="44"/>
      <c r="N395" s="44"/>
      <c r="O395" s="48" t="b">
        <f>EXACT(Tabla2[[#This Row],[Fecha de Recibido]],Tabla2[[#This Row],[Fecha MAX de Resp]])</f>
        <v>1</v>
      </c>
      <c r="P395" s="48" t="b">
        <f>EXACT(Tabla2[[#This Row],[Fecha de Recibido]],Tabla2[[#This Row],[Fecha de Resp]])</f>
        <v>1</v>
      </c>
      <c r="Q395" s="45">
        <f>DATE(YEAR(Tabla2[[#This Row],[Fecha de Recibido]]),MONTH(Tabla2[[#This Row],[Fecha de Recibido]]),1)</f>
        <v>44774</v>
      </c>
      <c r="R395" s="45" t="s">
        <v>63</v>
      </c>
    </row>
    <row r="396" spans="1:18" s="42" customFormat="1" ht="36.75" customHeight="1">
      <c r="A396" s="63">
        <v>44796</v>
      </c>
      <c r="B396" s="42" t="s">
        <v>17</v>
      </c>
      <c r="C396" s="42" t="s">
        <v>1096</v>
      </c>
      <c r="D396" s="41">
        <v>44799</v>
      </c>
      <c r="E396" s="41">
        <v>44798</v>
      </c>
      <c r="F396" s="42" t="s">
        <v>1097</v>
      </c>
      <c r="G396" s="43"/>
      <c r="H396" s="43" t="s">
        <v>1098</v>
      </c>
      <c r="I396" s="43"/>
      <c r="J396" s="43" t="s">
        <v>3</v>
      </c>
      <c r="K396" s="43" t="s">
        <v>12</v>
      </c>
      <c r="L396" s="44" t="str">
        <f>IF(Tabla2[[#This Row],[Fecha de Resp]]&gt;Tabla2[[#This Row],[Fecha MAX de Resp]],"Retrasado",IF(Tabla2[[#This Row],[Fecha de Resp]]=0,"Pendiente",IF(Tabla2[[#This Row],[Fecha de Resp]]&lt;=Tabla2[[#This Row],[Fecha MAX de Resp]],"A Tiempo",0)))</f>
        <v>A Tiempo</v>
      </c>
      <c r="M396" s="44"/>
      <c r="N396" s="44"/>
      <c r="O396" s="48" t="b">
        <f>EXACT(Tabla2[[#This Row],[Fecha de Recibido]],Tabla2[[#This Row],[Fecha MAX de Resp]])</f>
        <v>0</v>
      </c>
      <c r="P396" s="48" t="b">
        <f>EXACT(Tabla2[[#This Row],[Fecha de Recibido]],Tabla2[[#This Row],[Fecha de Resp]])</f>
        <v>0</v>
      </c>
      <c r="Q396" s="45">
        <f>DATE(YEAR(Tabla2[[#This Row],[Fecha de Recibido]]),MONTH(Tabla2[[#This Row],[Fecha de Recibido]]),1)</f>
        <v>44774</v>
      </c>
      <c r="R396" s="45" t="s">
        <v>63</v>
      </c>
    </row>
    <row r="397" spans="1:18" s="42" customFormat="1" ht="36.75" customHeight="1">
      <c r="A397" s="63">
        <v>44791</v>
      </c>
      <c r="B397" s="42" t="s">
        <v>17</v>
      </c>
      <c r="C397" s="42" t="s">
        <v>1099</v>
      </c>
      <c r="D397" s="41">
        <v>44798</v>
      </c>
      <c r="E397" s="41">
        <v>44798</v>
      </c>
      <c r="F397" s="42" t="s">
        <v>1100</v>
      </c>
      <c r="G397" s="43" t="s">
        <v>1101</v>
      </c>
      <c r="H397" s="43" t="s">
        <v>1102</v>
      </c>
      <c r="I397" s="43" t="s">
        <v>1103</v>
      </c>
      <c r="J397" s="43" t="s">
        <v>8</v>
      </c>
      <c r="K397" s="43" t="s">
        <v>12</v>
      </c>
      <c r="L397" s="44" t="str">
        <f>IF(Tabla2[[#This Row],[Fecha de Resp]]&gt;Tabla2[[#This Row],[Fecha MAX de Resp]],"Retrasado",IF(Tabla2[[#This Row],[Fecha de Resp]]=0,"Pendiente",IF(Tabla2[[#This Row],[Fecha de Resp]]&lt;=Tabla2[[#This Row],[Fecha MAX de Resp]],"A Tiempo",0)))</f>
        <v>A Tiempo</v>
      </c>
      <c r="M397" s="44"/>
      <c r="N397" s="44"/>
      <c r="O397" s="48" t="b">
        <f>EXACT(Tabla2[[#This Row],[Fecha de Recibido]],Tabla2[[#This Row],[Fecha MAX de Resp]])</f>
        <v>0</v>
      </c>
      <c r="P397" s="48" t="b">
        <f>EXACT(Tabla2[[#This Row],[Fecha de Recibido]],Tabla2[[#This Row],[Fecha de Resp]])</f>
        <v>0</v>
      </c>
      <c r="Q397" s="45">
        <f>DATE(YEAR(Tabla2[[#This Row],[Fecha de Recibido]]),MONTH(Tabla2[[#This Row],[Fecha de Recibido]]),1)</f>
        <v>44774</v>
      </c>
      <c r="R397" s="45" t="s">
        <v>63</v>
      </c>
    </row>
    <row r="398" spans="1:18" s="42" customFormat="1" ht="36.75" customHeight="1">
      <c r="A398" s="63">
        <v>44791</v>
      </c>
      <c r="B398" s="42" t="s">
        <v>17</v>
      </c>
      <c r="C398" s="42" t="s">
        <v>1099</v>
      </c>
      <c r="D398" s="41">
        <v>44798</v>
      </c>
      <c r="E398" s="41">
        <v>44798</v>
      </c>
      <c r="F398" s="42" t="s">
        <v>1100</v>
      </c>
      <c r="G398" s="43" t="s">
        <v>1101</v>
      </c>
      <c r="H398" s="43" t="s">
        <v>1104</v>
      </c>
      <c r="I398" s="43" t="s">
        <v>1103</v>
      </c>
      <c r="J398" s="43" t="s">
        <v>11</v>
      </c>
      <c r="K398" s="43" t="s">
        <v>12</v>
      </c>
      <c r="L398" s="44" t="str">
        <f>IF(Tabla2[[#This Row],[Fecha de Resp]]&gt;Tabla2[[#This Row],[Fecha MAX de Resp]],"Retrasado",IF(Tabla2[[#This Row],[Fecha de Resp]]=0,"Pendiente",IF(Tabla2[[#This Row],[Fecha de Resp]]&lt;=Tabla2[[#This Row],[Fecha MAX de Resp]],"A Tiempo",0)))</f>
        <v>A Tiempo</v>
      </c>
      <c r="M398" s="44"/>
      <c r="N398" s="44"/>
      <c r="O398" s="48" t="b">
        <f>EXACT(Tabla2[[#This Row],[Fecha de Recibido]],Tabla2[[#This Row],[Fecha MAX de Resp]])</f>
        <v>0</v>
      </c>
      <c r="P398" s="48" t="b">
        <f>EXACT(Tabla2[[#This Row],[Fecha de Recibido]],Tabla2[[#This Row],[Fecha de Resp]])</f>
        <v>0</v>
      </c>
      <c r="Q398" s="45">
        <f>DATE(YEAR(Tabla2[[#This Row],[Fecha de Recibido]]),MONTH(Tabla2[[#This Row],[Fecha de Recibido]]),1)</f>
        <v>44774</v>
      </c>
      <c r="R398" s="45" t="s">
        <v>63</v>
      </c>
    </row>
    <row r="399" spans="1:18" s="42" customFormat="1" ht="36.75" customHeight="1">
      <c r="A399" s="63">
        <v>44791</v>
      </c>
      <c r="B399" s="42" t="s">
        <v>17</v>
      </c>
      <c r="C399" s="42" t="s">
        <v>1099</v>
      </c>
      <c r="D399" s="41">
        <v>44798</v>
      </c>
      <c r="E399" s="41">
        <v>44798</v>
      </c>
      <c r="F399" s="42" t="s">
        <v>1100</v>
      </c>
      <c r="G399" s="43" t="s">
        <v>1101</v>
      </c>
      <c r="H399" s="43" t="s">
        <v>1105</v>
      </c>
      <c r="I399" s="43" t="s">
        <v>1103</v>
      </c>
      <c r="J399" s="43" t="s">
        <v>8</v>
      </c>
      <c r="K399" s="43" t="s">
        <v>12</v>
      </c>
      <c r="L399" s="44" t="str">
        <f>IF(Tabla2[[#This Row],[Fecha de Resp]]&gt;Tabla2[[#This Row],[Fecha MAX de Resp]],"Retrasado",IF(Tabla2[[#This Row],[Fecha de Resp]]=0,"Pendiente",IF(Tabla2[[#This Row],[Fecha de Resp]]&lt;=Tabla2[[#This Row],[Fecha MAX de Resp]],"A Tiempo",0)))</f>
        <v>A Tiempo</v>
      </c>
      <c r="M399" s="44"/>
      <c r="N399" s="44"/>
      <c r="O399" s="48" t="b">
        <f>EXACT(Tabla2[[#This Row],[Fecha de Recibido]],Tabla2[[#This Row],[Fecha MAX de Resp]])</f>
        <v>0</v>
      </c>
      <c r="P399" s="48" t="b">
        <f>EXACT(Tabla2[[#This Row],[Fecha de Recibido]],Tabla2[[#This Row],[Fecha de Resp]])</f>
        <v>0</v>
      </c>
      <c r="Q399" s="45">
        <f>DATE(YEAR(Tabla2[[#This Row],[Fecha de Recibido]]),MONTH(Tabla2[[#This Row],[Fecha de Recibido]]),1)</f>
        <v>44774</v>
      </c>
      <c r="R399" s="45" t="s">
        <v>63</v>
      </c>
    </row>
    <row r="400" spans="1:18" s="42" customFormat="1" ht="36.75" customHeight="1">
      <c r="A400" s="63">
        <v>44789</v>
      </c>
      <c r="B400" s="42" t="s">
        <v>17</v>
      </c>
      <c r="C400" s="42" t="s">
        <v>1106</v>
      </c>
      <c r="D400" s="41">
        <v>44792</v>
      </c>
      <c r="E400" s="41">
        <v>44789</v>
      </c>
      <c r="F400" s="42" t="s">
        <v>1107</v>
      </c>
      <c r="G400" s="43"/>
      <c r="H400" s="43" t="s">
        <v>1108</v>
      </c>
      <c r="I400" s="43" t="s">
        <v>1109</v>
      </c>
      <c r="J400" s="43" t="s">
        <v>3</v>
      </c>
      <c r="K400" s="43" t="s">
        <v>12</v>
      </c>
      <c r="L400" s="44" t="str">
        <f>IF(Tabla2[[#This Row],[Fecha de Resp]]&gt;Tabla2[[#This Row],[Fecha MAX de Resp]],"Retrasado",IF(Tabla2[[#This Row],[Fecha de Resp]]=0,"Pendiente",IF(Tabla2[[#This Row],[Fecha de Resp]]&lt;=Tabla2[[#This Row],[Fecha MAX de Resp]],"A Tiempo",0)))</f>
        <v>A Tiempo</v>
      </c>
      <c r="M400" s="44"/>
      <c r="N400" s="44"/>
      <c r="O400" s="48" t="b">
        <f>EXACT(Tabla2[[#This Row],[Fecha de Recibido]],Tabla2[[#This Row],[Fecha MAX de Resp]])</f>
        <v>0</v>
      </c>
      <c r="P400" s="48" t="b">
        <f>EXACT(Tabla2[[#This Row],[Fecha de Recibido]],Tabla2[[#This Row],[Fecha de Resp]])</f>
        <v>1</v>
      </c>
      <c r="Q400" s="45">
        <f>DATE(YEAR(Tabla2[[#This Row],[Fecha de Recibido]]),MONTH(Tabla2[[#This Row],[Fecha de Recibido]]),1)</f>
        <v>44774</v>
      </c>
      <c r="R400" s="45" t="s">
        <v>63</v>
      </c>
    </row>
    <row r="401" spans="1:18" s="42" customFormat="1" ht="36.75" customHeight="1">
      <c r="A401" s="63">
        <v>44774</v>
      </c>
      <c r="B401" s="42" t="s">
        <v>32</v>
      </c>
      <c r="C401" s="42" t="s">
        <v>1110</v>
      </c>
      <c r="D401" s="41">
        <v>44799</v>
      </c>
      <c r="E401" s="41">
        <v>44797</v>
      </c>
      <c r="F401" s="42" t="s">
        <v>1111</v>
      </c>
      <c r="G401" s="43" t="s">
        <v>1112</v>
      </c>
      <c r="H401" s="43"/>
      <c r="I401" s="43"/>
      <c r="J401" s="43" t="s">
        <v>3</v>
      </c>
      <c r="K401" s="43" t="s">
        <v>360</v>
      </c>
      <c r="L401" s="44" t="str">
        <f>IF(Tabla2[[#This Row],[Fecha de Resp]]&gt;Tabla2[[#This Row],[Fecha MAX de Resp]],"Retrasado",IF(Tabla2[[#This Row],[Fecha de Resp]]=0,"Pendiente",IF(Tabla2[[#This Row],[Fecha de Resp]]&lt;=Tabla2[[#This Row],[Fecha MAX de Resp]],"A Tiempo",0)))</f>
        <v>A Tiempo</v>
      </c>
      <c r="M401" s="44"/>
      <c r="N401" s="44"/>
      <c r="O401" s="48" t="b">
        <f>EXACT(Tabla2[[#This Row],[Fecha de Recibido]],Tabla2[[#This Row],[Fecha MAX de Resp]])</f>
        <v>0</v>
      </c>
      <c r="P401" s="48" t="b">
        <f>EXACT(Tabla2[[#This Row],[Fecha de Recibido]],Tabla2[[#This Row],[Fecha de Resp]])</f>
        <v>0</v>
      </c>
      <c r="Q401" s="45">
        <f>DATE(YEAR(Tabla2[[#This Row],[Fecha de Recibido]]),MONTH(Tabla2[[#This Row],[Fecha de Recibido]]),1)</f>
        <v>44774</v>
      </c>
      <c r="R401" s="45" t="s">
        <v>63</v>
      </c>
    </row>
    <row r="402" spans="1:18" s="42" customFormat="1" ht="36.75" customHeight="1">
      <c r="A402" s="63">
        <v>44757</v>
      </c>
      <c r="B402" s="42" t="s">
        <v>32</v>
      </c>
      <c r="C402" s="42" t="s">
        <v>1113</v>
      </c>
      <c r="D402" s="41">
        <v>44939</v>
      </c>
      <c r="E402" s="41">
        <v>44939</v>
      </c>
      <c r="G402" s="43" t="s">
        <v>1114</v>
      </c>
      <c r="H402" s="43"/>
      <c r="I402" s="43"/>
      <c r="J402" s="43" t="s">
        <v>3</v>
      </c>
      <c r="K402" s="43" t="s">
        <v>9</v>
      </c>
      <c r="L402" s="44" t="str">
        <f>IF(Tabla2[[#This Row],[Fecha de Resp]]&gt;Tabla2[[#This Row],[Fecha MAX de Resp]],"Retrasado",IF(Tabla2[[#This Row],[Fecha de Resp]]=0,"Pendiente",IF(Tabla2[[#This Row],[Fecha de Resp]]&lt;=Tabla2[[#This Row],[Fecha MAX de Resp]],"A Tiempo",0)))</f>
        <v>A Tiempo</v>
      </c>
      <c r="M402" s="44"/>
      <c r="N402" s="44"/>
      <c r="O402" s="48" t="b">
        <f>EXACT(Tabla2[[#This Row],[Fecha de Recibido]],Tabla2[[#This Row],[Fecha MAX de Resp]])</f>
        <v>0</v>
      </c>
      <c r="P402" s="48" t="b">
        <f>EXACT(Tabla2[[#This Row],[Fecha de Recibido]],Tabla2[[#This Row],[Fecha de Resp]])</f>
        <v>0</v>
      </c>
      <c r="Q402" s="45">
        <f>DATE(YEAR(Tabla2[[#This Row],[Fecha de Recibido]]),MONTH(Tabla2[[#This Row],[Fecha de Recibido]]),1)</f>
        <v>44743</v>
      </c>
      <c r="R402" s="45" t="s">
        <v>63</v>
      </c>
    </row>
    <row r="403" spans="1:18" s="42" customFormat="1" ht="36.75" customHeight="1">
      <c r="A403" s="63">
        <v>44757</v>
      </c>
      <c r="B403" s="42" t="s">
        <v>32</v>
      </c>
      <c r="C403" s="42" t="s">
        <v>1115</v>
      </c>
      <c r="D403" s="41">
        <v>44939</v>
      </c>
      <c r="E403" s="41">
        <v>44939</v>
      </c>
      <c r="G403" s="43" t="s">
        <v>1116</v>
      </c>
      <c r="H403" s="55"/>
      <c r="I403" s="43"/>
      <c r="J403" s="43" t="s">
        <v>3</v>
      </c>
      <c r="K403" s="43" t="s">
        <v>9</v>
      </c>
      <c r="L403" s="44" t="str">
        <f>IF(Tabla2[[#This Row],[Fecha de Resp]]&gt;Tabla2[[#This Row],[Fecha MAX de Resp]],"Retrasado",IF(Tabla2[[#This Row],[Fecha de Resp]]=0,"Pendiente",IF(Tabla2[[#This Row],[Fecha de Resp]]&lt;=Tabla2[[#This Row],[Fecha MAX de Resp]],"A Tiempo",0)))</f>
        <v>A Tiempo</v>
      </c>
      <c r="M403" s="44"/>
      <c r="N403" s="44"/>
      <c r="O403" s="48" t="b">
        <f>EXACT(Tabla2[[#This Row],[Fecha de Recibido]],Tabla2[[#This Row],[Fecha MAX de Resp]])</f>
        <v>0</v>
      </c>
      <c r="P403" s="48" t="b">
        <f>EXACT(Tabla2[[#This Row],[Fecha de Recibido]],Tabla2[[#This Row],[Fecha de Resp]])</f>
        <v>0</v>
      </c>
      <c r="Q403" s="45">
        <f>DATE(YEAR(Tabla2[[#This Row],[Fecha de Recibido]]),MONTH(Tabla2[[#This Row],[Fecha de Recibido]]),1)</f>
        <v>44743</v>
      </c>
      <c r="R403" s="45" t="s">
        <v>63</v>
      </c>
    </row>
    <row r="404" spans="1:18" s="42" customFormat="1" ht="36.75" customHeight="1">
      <c r="A404" s="63">
        <v>44755</v>
      </c>
      <c r="B404" s="42" t="s">
        <v>17</v>
      </c>
      <c r="C404" s="42" t="s">
        <v>1117</v>
      </c>
      <c r="D404" s="41">
        <v>44781</v>
      </c>
      <c r="E404" s="41">
        <v>44781</v>
      </c>
      <c r="F404" s="42" t="s">
        <v>1107</v>
      </c>
      <c r="G404" s="43"/>
      <c r="H404" s="43" t="s">
        <v>1118</v>
      </c>
      <c r="I404" s="43" t="s">
        <v>1109</v>
      </c>
      <c r="J404" s="43" t="s">
        <v>8</v>
      </c>
      <c r="K404" s="43" t="s">
        <v>12</v>
      </c>
      <c r="L404" s="44" t="str">
        <f>IF(Tabla2[[#This Row],[Fecha de Resp]]&gt;Tabla2[[#This Row],[Fecha MAX de Resp]],"Retrasado",IF(Tabla2[[#This Row],[Fecha de Resp]]=0,"Pendiente",IF(Tabla2[[#This Row],[Fecha de Resp]]&lt;=Tabla2[[#This Row],[Fecha MAX de Resp]],"A Tiempo",0)))</f>
        <v>A Tiempo</v>
      </c>
      <c r="M404" s="44"/>
      <c r="N404" s="44"/>
      <c r="O404" s="48" t="b">
        <f>EXACT(Tabla2[[#This Row],[Fecha de Recibido]],Tabla2[[#This Row],[Fecha MAX de Resp]])</f>
        <v>0</v>
      </c>
      <c r="P404" s="48" t="b">
        <f>EXACT(Tabla2[[#This Row],[Fecha de Recibido]],Tabla2[[#This Row],[Fecha de Resp]])</f>
        <v>0</v>
      </c>
      <c r="Q404" s="45">
        <f>DATE(YEAR(Tabla2[[#This Row],[Fecha de Recibido]]),MONTH(Tabla2[[#This Row],[Fecha de Recibido]]),1)</f>
        <v>44743</v>
      </c>
      <c r="R404" s="45" t="s">
        <v>63</v>
      </c>
    </row>
    <row r="405" spans="1:18" s="42" customFormat="1" ht="36.75" customHeight="1">
      <c r="A405" s="63">
        <v>44753</v>
      </c>
      <c r="B405" s="42" t="s">
        <v>17</v>
      </c>
      <c r="C405" s="42" t="s">
        <v>1119</v>
      </c>
      <c r="D405" s="41">
        <v>44770</v>
      </c>
      <c r="E405" s="41">
        <v>44769</v>
      </c>
      <c r="F405" s="42" t="s">
        <v>1120</v>
      </c>
      <c r="G405" s="43" t="s">
        <v>1121</v>
      </c>
      <c r="H405" s="43" t="s">
        <v>1122</v>
      </c>
      <c r="I405" s="43"/>
      <c r="J405" s="43" t="s">
        <v>3</v>
      </c>
      <c r="K405" s="43" t="s">
        <v>12</v>
      </c>
      <c r="L405" s="44" t="str">
        <f>IF(Tabla2[[#This Row],[Fecha de Resp]]&gt;Tabla2[[#This Row],[Fecha MAX de Resp]],"Retrasado",IF(Tabla2[[#This Row],[Fecha de Resp]]=0,"Pendiente",IF(Tabla2[[#This Row],[Fecha de Resp]]&lt;=Tabla2[[#This Row],[Fecha MAX de Resp]],"A Tiempo",0)))</f>
        <v>A Tiempo</v>
      </c>
      <c r="M405" s="44"/>
      <c r="N405" s="44"/>
      <c r="O405" s="48" t="b">
        <f>EXACT(Tabla2[[#This Row],[Fecha de Recibido]],Tabla2[[#This Row],[Fecha MAX de Resp]])</f>
        <v>0</v>
      </c>
      <c r="P405" s="48" t="b">
        <f>EXACT(Tabla2[[#This Row],[Fecha de Recibido]],Tabla2[[#This Row],[Fecha de Resp]])</f>
        <v>0</v>
      </c>
      <c r="Q405" s="45">
        <f>DATE(YEAR(Tabla2[[#This Row],[Fecha de Recibido]]),MONTH(Tabla2[[#This Row],[Fecha de Recibido]]),1)</f>
        <v>44743</v>
      </c>
      <c r="R405" s="45" t="s">
        <v>63</v>
      </c>
    </row>
    <row r="406" spans="1:18" s="42" customFormat="1" ht="36.75" customHeight="1">
      <c r="A406" s="63">
        <v>44747</v>
      </c>
      <c r="B406" s="42" t="s">
        <v>32</v>
      </c>
      <c r="C406" s="42" t="s">
        <v>1123</v>
      </c>
      <c r="D406" s="41">
        <v>44761</v>
      </c>
      <c r="E406" s="41">
        <v>44761</v>
      </c>
      <c r="F406" s="42" t="s">
        <v>1124</v>
      </c>
      <c r="G406" s="43"/>
      <c r="H406" s="43" t="s">
        <v>1125</v>
      </c>
      <c r="I406" s="43"/>
      <c r="J406" s="43" t="s">
        <v>3</v>
      </c>
      <c r="K406" s="43" t="s">
        <v>360</v>
      </c>
      <c r="L406" s="44" t="str">
        <f>IF(Tabla2[[#This Row],[Fecha de Resp]]&gt;Tabla2[[#This Row],[Fecha MAX de Resp]],"Retrasado",IF(Tabla2[[#This Row],[Fecha de Resp]]=0,"Pendiente",IF(Tabla2[[#This Row],[Fecha de Resp]]&lt;=Tabla2[[#This Row],[Fecha MAX de Resp]],"A Tiempo",0)))</f>
        <v>A Tiempo</v>
      </c>
      <c r="M406" s="44"/>
      <c r="N406" s="44"/>
      <c r="O406" s="48" t="b">
        <f>EXACT(Tabla2[[#This Row],[Fecha de Recibido]],Tabla2[[#This Row],[Fecha MAX de Resp]])</f>
        <v>0</v>
      </c>
      <c r="P406" s="48" t="b">
        <f>EXACT(Tabla2[[#This Row],[Fecha de Recibido]],Tabla2[[#This Row],[Fecha de Resp]])</f>
        <v>0</v>
      </c>
      <c r="Q406" s="45">
        <f>DATE(YEAR(Tabla2[[#This Row],[Fecha de Recibido]]),MONTH(Tabla2[[#This Row],[Fecha de Recibido]]),1)</f>
        <v>44743</v>
      </c>
      <c r="R406" s="45" t="s">
        <v>63</v>
      </c>
    </row>
    <row r="407" spans="1:18" s="42" customFormat="1" ht="36.75" customHeight="1">
      <c r="A407" s="63">
        <v>44735</v>
      </c>
      <c r="B407" s="42" t="s">
        <v>32</v>
      </c>
      <c r="C407" s="42" t="s">
        <v>1126</v>
      </c>
      <c r="D407" s="41">
        <v>44796</v>
      </c>
      <c r="E407" s="41">
        <v>44792</v>
      </c>
      <c r="F407" s="42" t="s">
        <v>1127</v>
      </c>
      <c r="G407" s="43"/>
      <c r="H407" s="43" t="s">
        <v>1128</v>
      </c>
      <c r="I407" s="43"/>
      <c r="J407" s="43" t="s">
        <v>11</v>
      </c>
      <c r="K407" s="43" t="s">
        <v>12</v>
      </c>
      <c r="L407" s="44" t="str">
        <f>IF(Tabla2[[#This Row],[Fecha de Resp]]&gt;Tabla2[[#This Row],[Fecha MAX de Resp]],"Retrasado",IF(Tabla2[[#This Row],[Fecha de Resp]]=0,"Pendiente",IF(Tabla2[[#This Row],[Fecha de Resp]]&lt;=Tabla2[[#This Row],[Fecha MAX de Resp]],"A Tiempo",0)))</f>
        <v>A Tiempo</v>
      </c>
      <c r="M407" s="44"/>
      <c r="N407" s="44"/>
      <c r="O407" s="48" t="b">
        <f>EXACT(Tabla2[[#This Row],[Fecha de Recibido]],Tabla2[[#This Row],[Fecha MAX de Resp]])</f>
        <v>0</v>
      </c>
      <c r="P407" s="48" t="b">
        <f>EXACT(Tabla2[[#This Row],[Fecha de Recibido]],Tabla2[[#This Row],[Fecha de Resp]])</f>
        <v>0</v>
      </c>
      <c r="Q407" s="45">
        <f>DATE(YEAR(Tabla2[[#This Row],[Fecha de Recibido]]),MONTH(Tabla2[[#This Row],[Fecha de Recibido]]),1)</f>
        <v>44713</v>
      </c>
      <c r="R407" s="45" t="s">
        <v>63</v>
      </c>
    </row>
    <row r="408" spans="1:18" s="42" customFormat="1" ht="36.75" customHeight="1">
      <c r="A408" s="63">
        <v>44735</v>
      </c>
      <c r="B408" s="42" t="s">
        <v>32</v>
      </c>
      <c r="C408" s="42" t="s">
        <v>1126</v>
      </c>
      <c r="D408" s="41">
        <v>44796</v>
      </c>
      <c r="E408" s="41">
        <v>44792</v>
      </c>
      <c r="F408" s="42" t="s">
        <v>1127</v>
      </c>
      <c r="G408" s="43"/>
      <c r="H408" s="43" t="s">
        <v>1129</v>
      </c>
      <c r="I408" s="43"/>
      <c r="J408" s="43" t="s">
        <v>14</v>
      </c>
      <c r="K408" s="43" t="s">
        <v>12</v>
      </c>
      <c r="L408" s="44" t="str">
        <f>IF(Tabla2[[#This Row],[Fecha de Resp]]&gt;Tabla2[[#This Row],[Fecha MAX de Resp]],"Retrasado",IF(Tabla2[[#This Row],[Fecha de Resp]]=0,"Pendiente",IF(Tabla2[[#This Row],[Fecha de Resp]]&lt;=Tabla2[[#This Row],[Fecha MAX de Resp]],"A Tiempo",0)))</f>
        <v>A Tiempo</v>
      </c>
      <c r="M408" s="44"/>
      <c r="N408" s="44"/>
      <c r="O408" s="48" t="b">
        <f>EXACT(Tabla2[[#This Row],[Fecha de Recibido]],Tabla2[[#This Row],[Fecha MAX de Resp]])</f>
        <v>0</v>
      </c>
      <c r="P408" s="48" t="b">
        <f>EXACT(Tabla2[[#This Row],[Fecha de Recibido]],Tabla2[[#This Row],[Fecha de Resp]])</f>
        <v>0</v>
      </c>
      <c r="Q408" s="45">
        <f>DATE(YEAR(Tabla2[[#This Row],[Fecha de Recibido]]),MONTH(Tabla2[[#This Row],[Fecha de Recibido]]),1)</f>
        <v>44713</v>
      </c>
      <c r="R408" s="45" t="s">
        <v>63</v>
      </c>
    </row>
    <row r="409" spans="1:18" s="42" customFormat="1" ht="36.75" customHeight="1">
      <c r="A409" s="63">
        <v>44735</v>
      </c>
      <c r="B409" s="42" t="s">
        <v>32</v>
      </c>
      <c r="C409" s="42" t="s">
        <v>1126</v>
      </c>
      <c r="D409" s="41">
        <v>44796</v>
      </c>
      <c r="E409" s="41">
        <v>44792</v>
      </c>
      <c r="F409" s="42" t="s">
        <v>1127</v>
      </c>
      <c r="G409" s="43"/>
      <c r="H409" s="43" t="s">
        <v>1130</v>
      </c>
      <c r="I409" s="43"/>
      <c r="J409" s="43" t="s">
        <v>3</v>
      </c>
      <c r="K409" s="43" t="s">
        <v>12</v>
      </c>
      <c r="L409" s="44" t="str">
        <f>IF(Tabla2[[#This Row],[Fecha de Resp]]&gt;Tabla2[[#This Row],[Fecha MAX de Resp]],"Retrasado",IF(Tabla2[[#This Row],[Fecha de Resp]]=0,"Pendiente",IF(Tabla2[[#This Row],[Fecha de Resp]]&lt;=Tabla2[[#This Row],[Fecha MAX de Resp]],"A Tiempo",0)))</f>
        <v>A Tiempo</v>
      </c>
      <c r="M409" s="44"/>
      <c r="N409" s="44"/>
      <c r="O409" s="48" t="b">
        <f>EXACT(Tabla2[[#This Row],[Fecha de Recibido]],Tabla2[[#This Row],[Fecha MAX de Resp]])</f>
        <v>0</v>
      </c>
      <c r="P409" s="48" t="b">
        <f>EXACT(Tabla2[[#This Row],[Fecha de Recibido]],Tabla2[[#This Row],[Fecha de Resp]])</f>
        <v>0</v>
      </c>
      <c r="Q409" s="45">
        <f>DATE(YEAR(Tabla2[[#This Row],[Fecha de Recibido]]),MONTH(Tabla2[[#This Row],[Fecha de Recibido]]),1)</f>
        <v>44713</v>
      </c>
      <c r="R409" s="45" t="s">
        <v>63</v>
      </c>
    </row>
    <row r="410" spans="1:18" s="42" customFormat="1" ht="36.75" customHeight="1">
      <c r="A410" s="63">
        <v>44735</v>
      </c>
      <c r="B410" s="42" t="s">
        <v>32</v>
      </c>
      <c r="C410" s="42" t="s">
        <v>1131</v>
      </c>
      <c r="D410" s="41">
        <v>44796</v>
      </c>
      <c r="E410" s="41">
        <v>44792</v>
      </c>
      <c r="F410" s="42" t="s">
        <v>1127</v>
      </c>
      <c r="G410" s="43"/>
      <c r="H410" s="43" t="s">
        <v>1132</v>
      </c>
      <c r="I410" s="43"/>
      <c r="J410" s="43" t="s">
        <v>8</v>
      </c>
      <c r="K410" s="43" t="s">
        <v>360</v>
      </c>
      <c r="L410" s="44" t="str">
        <f>IF(Tabla2[[#This Row],[Fecha de Resp]]&gt;Tabla2[[#This Row],[Fecha MAX de Resp]],"Retrasado",IF(Tabla2[[#This Row],[Fecha de Resp]]=0,"Pendiente",IF(Tabla2[[#This Row],[Fecha de Resp]]&lt;=Tabla2[[#This Row],[Fecha MAX de Resp]],"A Tiempo",0)))</f>
        <v>A Tiempo</v>
      </c>
      <c r="M410" s="44"/>
      <c r="N410" s="44"/>
      <c r="O410" s="48" t="b">
        <f>EXACT(Tabla2[[#This Row],[Fecha de Recibido]],Tabla2[[#This Row],[Fecha MAX de Resp]])</f>
        <v>0</v>
      </c>
      <c r="P410" s="48" t="b">
        <f>EXACT(Tabla2[[#This Row],[Fecha de Recibido]],Tabla2[[#This Row],[Fecha de Resp]])</f>
        <v>0</v>
      </c>
      <c r="Q410" s="45">
        <f>DATE(YEAR(Tabla2[[#This Row],[Fecha de Recibido]]),MONTH(Tabla2[[#This Row],[Fecha de Recibido]]),1)</f>
        <v>44713</v>
      </c>
      <c r="R410" s="45" t="s">
        <v>63</v>
      </c>
    </row>
    <row r="411" spans="1:18" s="42" customFormat="1" ht="36.75" customHeight="1">
      <c r="A411" s="63">
        <v>44733</v>
      </c>
      <c r="B411" s="42" t="s">
        <v>32</v>
      </c>
      <c r="C411" s="42" t="s">
        <v>1133</v>
      </c>
      <c r="D411" s="41">
        <v>44733</v>
      </c>
      <c r="E411" s="41">
        <v>44733</v>
      </c>
      <c r="F411" s="42" t="s">
        <v>1134</v>
      </c>
      <c r="G411" s="43" t="s">
        <v>1135</v>
      </c>
      <c r="H411" s="43" t="s">
        <v>1136</v>
      </c>
      <c r="I411" s="43"/>
      <c r="J411" s="43" t="s">
        <v>3</v>
      </c>
      <c r="K411" s="43" t="s">
        <v>360</v>
      </c>
      <c r="L411" s="44" t="str">
        <f>IF(Tabla2[[#This Row],[Fecha de Resp]]&gt;Tabla2[[#This Row],[Fecha MAX de Resp]],"Retrasado",IF(Tabla2[[#This Row],[Fecha de Resp]]=0,"Pendiente",IF(Tabla2[[#This Row],[Fecha de Resp]]&lt;=Tabla2[[#This Row],[Fecha MAX de Resp]],"A Tiempo",0)))</f>
        <v>A Tiempo</v>
      </c>
      <c r="M411" s="44"/>
      <c r="N411" s="44"/>
      <c r="O411" s="48" t="b">
        <f>EXACT(Tabla2[[#This Row],[Fecha de Recibido]],Tabla2[[#This Row],[Fecha MAX de Resp]])</f>
        <v>1</v>
      </c>
      <c r="P411" s="48" t="b">
        <f>EXACT(Tabla2[[#This Row],[Fecha de Recibido]],Tabla2[[#This Row],[Fecha de Resp]])</f>
        <v>1</v>
      </c>
      <c r="Q411" s="45">
        <f>DATE(YEAR(Tabla2[[#This Row],[Fecha de Recibido]]),MONTH(Tabla2[[#This Row],[Fecha de Recibido]]),1)</f>
        <v>44713</v>
      </c>
      <c r="R411" s="45" t="s">
        <v>63</v>
      </c>
    </row>
    <row r="412" spans="1:18" s="42" customFormat="1" ht="36.75" customHeight="1">
      <c r="A412" s="63">
        <v>44729</v>
      </c>
      <c r="B412" s="42" t="s">
        <v>40</v>
      </c>
      <c r="C412" s="42" t="s">
        <v>1137</v>
      </c>
      <c r="D412" s="41">
        <v>44729</v>
      </c>
      <c r="E412" s="41">
        <v>44729</v>
      </c>
      <c r="F412" s="42" t="s">
        <v>1138</v>
      </c>
      <c r="G412" s="43"/>
      <c r="H412" s="43" t="s">
        <v>1139</v>
      </c>
      <c r="I412" s="43"/>
      <c r="J412" s="43" t="s">
        <v>11</v>
      </c>
      <c r="K412" s="43" t="s">
        <v>4</v>
      </c>
      <c r="L412" s="44" t="str">
        <f>IF(Tabla2[[#This Row],[Fecha de Resp]]&gt;Tabla2[[#This Row],[Fecha MAX de Resp]],"Retrasado",IF(Tabla2[[#This Row],[Fecha de Resp]]=0,"Pendiente",IF(Tabla2[[#This Row],[Fecha de Resp]]&lt;=Tabla2[[#This Row],[Fecha MAX de Resp]],"A Tiempo",0)))</f>
        <v>A Tiempo</v>
      </c>
      <c r="M412" s="44"/>
      <c r="N412" s="44"/>
      <c r="O412" s="48" t="b">
        <f>EXACT(Tabla2[[#This Row],[Fecha de Recibido]],Tabla2[[#This Row],[Fecha MAX de Resp]])</f>
        <v>1</v>
      </c>
      <c r="P412" s="48" t="b">
        <f>EXACT(Tabla2[[#This Row],[Fecha de Recibido]],Tabla2[[#This Row],[Fecha de Resp]])</f>
        <v>1</v>
      </c>
      <c r="Q412" s="45">
        <f>DATE(YEAR(Tabla2[[#This Row],[Fecha de Recibido]]),MONTH(Tabla2[[#This Row],[Fecha de Recibido]]),1)</f>
        <v>44713</v>
      </c>
      <c r="R412" s="45" t="s">
        <v>63</v>
      </c>
    </row>
    <row r="413" spans="1:18" s="42" customFormat="1" ht="36.75" customHeight="1">
      <c r="A413" s="63">
        <v>44729</v>
      </c>
      <c r="B413" s="42" t="s">
        <v>40</v>
      </c>
      <c r="C413" s="42" t="s">
        <v>1137</v>
      </c>
      <c r="D413" s="41">
        <v>44729</v>
      </c>
      <c r="E413" s="41">
        <v>44729</v>
      </c>
      <c r="F413" s="42" t="s">
        <v>1138</v>
      </c>
      <c r="G413" s="43"/>
      <c r="H413" s="43" t="s">
        <v>1140</v>
      </c>
      <c r="I413" s="43"/>
      <c r="J413" s="43" t="s">
        <v>8</v>
      </c>
      <c r="K413" s="43" t="s">
        <v>4</v>
      </c>
      <c r="L413" s="44" t="str">
        <f>IF(Tabla2[[#This Row],[Fecha de Resp]]&gt;Tabla2[[#This Row],[Fecha MAX de Resp]],"Retrasado",IF(Tabla2[[#This Row],[Fecha de Resp]]=0,"Pendiente",IF(Tabla2[[#This Row],[Fecha de Resp]]&lt;=Tabla2[[#This Row],[Fecha MAX de Resp]],"A Tiempo",0)))</f>
        <v>A Tiempo</v>
      </c>
      <c r="M413" s="44"/>
      <c r="N413" s="44"/>
      <c r="O413" s="48" t="b">
        <f>EXACT(Tabla2[[#This Row],[Fecha de Recibido]],Tabla2[[#This Row],[Fecha MAX de Resp]])</f>
        <v>1</v>
      </c>
      <c r="P413" s="48" t="b">
        <f>EXACT(Tabla2[[#This Row],[Fecha de Recibido]],Tabla2[[#This Row],[Fecha de Resp]])</f>
        <v>1</v>
      </c>
      <c r="Q413" s="45">
        <f>DATE(YEAR(Tabla2[[#This Row],[Fecha de Recibido]]),MONTH(Tabla2[[#This Row],[Fecha de Recibido]]),1)</f>
        <v>44713</v>
      </c>
      <c r="R413" s="45" t="s">
        <v>63</v>
      </c>
    </row>
    <row r="414" spans="1:18" s="42" customFormat="1" ht="36.75" customHeight="1">
      <c r="A414" s="63">
        <v>44729</v>
      </c>
      <c r="B414" s="42" t="s">
        <v>40</v>
      </c>
      <c r="C414" s="42" t="s">
        <v>1137</v>
      </c>
      <c r="D414" s="41">
        <v>44729</v>
      </c>
      <c r="E414" s="41">
        <v>44729</v>
      </c>
      <c r="F414" s="42" t="s">
        <v>1138</v>
      </c>
      <c r="G414" s="43"/>
      <c r="H414" s="43" t="s">
        <v>1141</v>
      </c>
      <c r="I414" s="43"/>
      <c r="J414" s="43" t="s">
        <v>14</v>
      </c>
      <c r="K414" s="43" t="s">
        <v>4</v>
      </c>
      <c r="L414" s="44" t="str">
        <f>IF(Tabla2[[#This Row],[Fecha de Resp]]&gt;Tabla2[[#This Row],[Fecha MAX de Resp]],"Retrasado",IF(Tabla2[[#This Row],[Fecha de Resp]]=0,"Pendiente",IF(Tabla2[[#This Row],[Fecha de Resp]]&lt;=Tabla2[[#This Row],[Fecha MAX de Resp]],"A Tiempo",0)))</f>
        <v>A Tiempo</v>
      </c>
      <c r="M414" s="44"/>
      <c r="N414" s="44"/>
      <c r="O414" s="48" t="b">
        <f>EXACT(Tabla2[[#This Row],[Fecha de Recibido]],Tabla2[[#This Row],[Fecha MAX de Resp]])</f>
        <v>1</v>
      </c>
      <c r="P414" s="48" t="b">
        <f>EXACT(Tabla2[[#This Row],[Fecha de Recibido]],Tabla2[[#This Row],[Fecha de Resp]])</f>
        <v>1</v>
      </c>
      <c r="Q414" s="45">
        <f>DATE(YEAR(Tabla2[[#This Row],[Fecha de Recibido]]),MONTH(Tabla2[[#This Row],[Fecha de Recibido]]),1)</f>
        <v>44713</v>
      </c>
      <c r="R414" s="45" t="s">
        <v>63</v>
      </c>
    </row>
    <row r="415" spans="1:18" s="42" customFormat="1" ht="36.75" customHeight="1">
      <c r="A415" s="63">
        <v>44727</v>
      </c>
      <c r="B415" s="42" t="s">
        <v>17</v>
      </c>
      <c r="C415" s="42" t="s">
        <v>1142</v>
      </c>
      <c r="D415" s="41">
        <v>44742</v>
      </c>
      <c r="E415" s="41">
        <v>44742</v>
      </c>
      <c r="F415" s="42" t="s">
        <v>1143</v>
      </c>
      <c r="G415" s="43"/>
      <c r="H415" s="43" t="s">
        <v>1144</v>
      </c>
      <c r="I415" s="43"/>
      <c r="J415" s="43" t="s">
        <v>3</v>
      </c>
      <c r="K415" s="43" t="s">
        <v>360</v>
      </c>
      <c r="L415" s="44" t="str">
        <f>IF(Tabla2[[#This Row],[Fecha de Resp]]&gt;Tabla2[[#This Row],[Fecha MAX de Resp]],"Retrasado",IF(Tabla2[[#This Row],[Fecha de Resp]]=0,"Pendiente",IF(Tabla2[[#This Row],[Fecha de Resp]]&lt;=Tabla2[[#This Row],[Fecha MAX de Resp]],"A Tiempo",0)))</f>
        <v>A Tiempo</v>
      </c>
      <c r="M415" s="44"/>
      <c r="N415" s="44"/>
      <c r="O415" s="48" t="b">
        <f>EXACT(Tabla2[[#This Row],[Fecha de Recibido]],Tabla2[[#This Row],[Fecha MAX de Resp]])</f>
        <v>0</v>
      </c>
      <c r="P415" s="48" t="b">
        <f>EXACT(Tabla2[[#This Row],[Fecha de Recibido]],Tabla2[[#This Row],[Fecha de Resp]])</f>
        <v>0</v>
      </c>
      <c r="Q415" s="45">
        <f>DATE(YEAR(Tabla2[[#This Row],[Fecha de Recibido]]),MONTH(Tabla2[[#This Row],[Fecha de Recibido]]),1)</f>
        <v>44713</v>
      </c>
      <c r="R415" s="45" t="s">
        <v>63</v>
      </c>
    </row>
    <row r="416" spans="1:18" s="42" customFormat="1" ht="36.75" customHeight="1">
      <c r="A416" s="63">
        <v>44724</v>
      </c>
      <c r="B416" s="42" t="s">
        <v>17</v>
      </c>
      <c r="C416" s="42" t="s">
        <v>1145</v>
      </c>
      <c r="D416" s="41">
        <v>44761</v>
      </c>
      <c r="E416" s="41">
        <v>44761</v>
      </c>
      <c r="F416" s="42" t="s">
        <v>1146</v>
      </c>
      <c r="G416" s="43"/>
      <c r="H416" s="43" t="s">
        <v>1147</v>
      </c>
      <c r="I416" s="43"/>
      <c r="J416" s="43" t="s">
        <v>3</v>
      </c>
      <c r="K416" s="43" t="s">
        <v>360</v>
      </c>
      <c r="L416" s="44" t="str">
        <f>IF(Tabla2[[#This Row],[Fecha de Resp]]&gt;Tabla2[[#This Row],[Fecha MAX de Resp]],"Retrasado",IF(Tabla2[[#This Row],[Fecha de Resp]]=0,"Pendiente",IF(Tabla2[[#This Row],[Fecha de Resp]]&lt;=Tabla2[[#This Row],[Fecha MAX de Resp]],"A Tiempo",0)))</f>
        <v>A Tiempo</v>
      </c>
      <c r="M416" s="44"/>
      <c r="N416" s="44"/>
      <c r="O416" s="48" t="b">
        <f>EXACT(Tabla2[[#This Row],[Fecha de Recibido]],Tabla2[[#This Row],[Fecha MAX de Resp]])</f>
        <v>0</v>
      </c>
      <c r="P416" s="48" t="b">
        <f>EXACT(Tabla2[[#This Row],[Fecha de Recibido]],Tabla2[[#This Row],[Fecha de Resp]])</f>
        <v>0</v>
      </c>
      <c r="Q416" s="45">
        <f>DATE(YEAR(Tabla2[[#This Row],[Fecha de Recibido]]),MONTH(Tabla2[[#This Row],[Fecha de Recibido]]),1)</f>
        <v>44713</v>
      </c>
      <c r="R416" s="45" t="s">
        <v>63</v>
      </c>
    </row>
    <row r="417" spans="1:18" s="42" customFormat="1" ht="36.75" customHeight="1">
      <c r="A417" s="63">
        <v>44721</v>
      </c>
      <c r="B417" s="42" t="s">
        <v>30</v>
      </c>
      <c r="C417" s="42" t="s">
        <v>1148</v>
      </c>
      <c r="D417" s="41">
        <v>44721</v>
      </c>
      <c r="E417" s="41">
        <v>44721</v>
      </c>
      <c r="F417" s="42" t="s">
        <v>1149</v>
      </c>
      <c r="G417" s="43"/>
      <c r="H417" s="43" t="s">
        <v>1150</v>
      </c>
      <c r="I417" s="43"/>
      <c r="J417" s="43" t="s">
        <v>3</v>
      </c>
      <c r="K417" s="43" t="s">
        <v>360</v>
      </c>
      <c r="L417" s="44" t="str">
        <f>IF(Tabla2[[#This Row],[Fecha de Resp]]&gt;Tabla2[[#This Row],[Fecha MAX de Resp]],"Retrasado",IF(Tabla2[[#This Row],[Fecha de Resp]]=0,"Pendiente",IF(Tabla2[[#This Row],[Fecha de Resp]]&lt;=Tabla2[[#This Row],[Fecha MAX de Resp]],"A Tiempo",0)))</f>
        <v>A Tiempo</v>
      </c>
      <c r="M417" s="44"/>
      <c r="N417" s="44"/>
      <c r="O417" s="48" t="b">
        <f>EXACT(Tabla2[[#This Row],[Fecha de Recibido]],Tabla2[[#This Row],[Fecha MAX de Resp]])</f>
        <v>1</v>
      </c>
      <c r="P417" s="48" t="b">
        <f>EXACT(Tabla2[[#This Row],[Fecha de Recibido]],Tabla2[[#This Row],[Fecha de Resp]])</f>
        <v>1</v>
      </c>
      <c r="Q417" s="45">
        <f>DATE(YEAR(Tabla2[[#This Row],[Fecha de Recibido]]),MONTH(Tabla2[[#This Row],[Fecha de Recibido]]),1)</f>
        <v>44713</v>
      </c>
      <c r="R417" s="45" t="s">
        <v>63</v>
      </c>
    </row>
    <row r="418" spans="1:18" s="42" customFormat="1" ht="36.75" customHeight="1">
      <c r="A418" s="63">
        <v>44720</v>
      </c>
      <c r="B418" s="42" t="s">
        <v>17</v>
      </c>
      <c r="C418" s="42" t="s">
        <v>1151</v>
      </c>
      <c r="D418" s="41">
        <v>44786</v>
      </c>
      <c r="E418" s="41">
        <v>44786</v>
      </c>
      <c r="F418" s="42" t="s">
        <v>1152</v>
      </c>
      <c r="G418" s="43" t="s">
        <v>1153</v>
      </c>
      <c r="H418" s="43" t="s">
        <v>1154</v>
      </c>
      <c r="I418" s="43"/>
      <c r="J418" s="43" t="s">
        <v>3</v>
      </c>
      <c r="K418" s="43" t="s">
        <v>12</v>
      </c>
      <c r="L418" s="44" t="str">
        <f>IF(Tabla2[[#This Row],[Fecha de Resp]]&gt;Tabla2[[#This Row],[Fecha MAX de Resp]],"Retrasado",IF(Tabla2[[#This Row],[Fecha de Resp]]=0,"Pendiente",IF(Tabla2[[#This Row],[Fecha de Resp]]&lt;=Tabla2[[#This Row],[Fecha MAX de Resp]],"A Tiempo",0)))</f>
        <v>A Tiempo</v>
      </c>
      <c r="M418" s="44"/>
      <c r="N418" s="44"/>
      <c r="O418" s="48" t="b">
        <f>EXACT(Tabla2[[#This Row],[Fecha de Recibido]],Tabla2[[#This Row],[Fecha MAX de Resp]])</f>
        <v>0</v>
      </c>
      <c r="P418" s="48" t="b">
        <f>EXACT(Tabla2[[#This Row],[Fecha de Recibido]],Tabla2[[#This Row],[Fecha de Resp]])</f>
        <v>0</v>
      </c>
      <c r="Q418" s="45">
        <f>DATE(YEAR(Tabla2[[#This Row],[Fecha de Recibido]]),MONTH(Tabla2[[#This Row],[Fecha de Recibido]]),1)</f>
        <v>44713</v>
      </c>
      <c r="R418" s="45" t="s">
        <v>63</v>
      </c>
    </row>
    <row r="419" spans="1:18" s="42" customFormat="1" ht="36.75" customHeight="1">
      <c r="A419" s="63">
        <v>44720</v>
      </c>
      <c r="B419" s="42" t="s">
        <v>32</v>
      </c>
      <c r="C419" s="42" t="s">
        <v>1155</v>
      </c>
      <c r="D419" s="41">
        <v>44726</v>
      </c>
      <c r="E419" s="41">
        <v>44726</v>
      </c>
      <c r="F419" s="42" t="s">
        <v>1156</v>
      </c>
      <c r="G419" s="43"/>
      <c r="H419" s="43" t="s">
        <v>1157</v>
      </c>
      <c r="I419" s="43"/>
      <c r="J419" s="43" t="s">
        <v>3</v>
      </c>
      <c r="K419" s="43" t="s">
        <v>360</v>
      </c>
      <c r="L419" s="44" t="str">
        <f>IF(Tabla2[[#This Row],[Fecha de Resp]]&gt;Tabla2[[#This Row],[Fecha MAX de Resp]],"Retrasado",IF(Tabla2[[#This Row],[Fecha de Resp]]=0,"Pendiente",IF(Tabla2[[#This Row],[Fecha de Resp]]&lt;=Tabla2[[#This Row],[Fecha MAX de Resp]],"A Tiempo",0)))</f>
        <v>A Tiempo</v>
      </c>
      <c r="M419" s="44"/>
      <c r="N419" s="44"/>
      <c r="O419" s="48" t="b">
        <f>EXACT(Tabla2[[#This Row],[Fecha de Recibido]],Tabla2[[#This Row],[Fecha MAX de Resp]])</f>
        <v>0</v>
      </c>
      <c r="P419" s="48" t="b">
        <f>EXACT(Tabla2[[#This Row],[Fecha de Recibido]],Tabla2[[#This Row],[Fecha de Resp]])</f>
        <v>0</v>
      </c>
      <c r="Q419" s="45">
        <f>DATE(YEAR(Tabla2[[#This Row],[Fecha de Recibido]]),MONTH(Tabla2[[#This Row],[Fecha de Recibido]]),1)</f>
        <v>44713</v>
      </c>
      <c r="R419" s="45" t="s">
        <v>63</v>
      </c>
    </row>
    <row r="420" spans="1:18" s="42" customFormat="1" ht="36.75" customHeight="1">
      <c r="A420" s="63">
        <v>44720</v>
      </c>
      <c r="B420" s="42" t="s">
        <v>32</v>
      </c>
      <c r="C420" s="42" t="s">
        <v>1158</v>
      </c>
      <c r="D420" s="41">
        <v>44726</v>
      </c>
      <c r="E420" s="41">
        <v>44726</v>
      </c>
      <c r="F420" s="42" t="s">
        <v>1156</v>
      </c>
      <c r="G420" s="43"/>
      <c r="H420" s="43" t="s">
        <v>1159</v>
      </c>
      <c r="I420" s="43"/>
      <c r="J420" s="43" t="s">
        <v>11</v>
      </c>
      <c r="K420" s="43" t="s">
        <v>360</v>
      </c>
      <c r="L420" s="44" t="str">
        <f>IF(Tabla2[[#This Row],[Fecha de Resp]]&gt;Tabla2[[#This Row],[Fecha MAX de Resp]],"Retrasado",IF(Tabla2[[#This Row],[Fecha de Resp]]=0,"Pendiente",IF(Tabla2[[#This Row],[Fecha de Resp]]&lt;=Tabla2[[#This Row],[Fecha MAX de Resp]],"A Tiempo",0)))</f>
        <v>A Tiempo</v>
      </c>
      <c r="M420" s="44"/>
      <c r="N420" s="44"/>
      <c r="O420" s="48" t="b">
        <f>EXACT(Tabla2[[#This Row],[Fecha de Recibido]],Tabla2[[#This Row],[Fecha MAX de Resp]])</f>
        <v>0</v>
      </c>
      <c r="P420" s="48" t="b">
        <f>EXACT(Tabla2[[#This Row],[Fecha de Recibido]],Tabla2[[#This Row],[Fecha de Resp]])</f>
        <v>0</v>
      </c>
      <c r="Q420" s="45">
        <f>DATE(YEAR(Tabla2[[#This Row],[Fecha de Recibido]]),MONTH(Tabla2[[#This Row],[Fecha de Recibido]]),1)</f>
        <v>44713</v>
      </c>
      <c r="R420" s="45" t="s">
        <v>63</v>
      </c>
    </row>
    <row r="421" spans="1:18" s="42" customFormat="1" ht="36.75" customHeight="1">
      <c r="A421" s="63">
        <v>44720</v>
      </c>
      <c r="B421" s="42" t="s">
        <v>32</v>
      </c>
      <c r="C421" s="42" t="s">
        <v>1160</v>
      </c>
      <c r="D421" s="41">
        <v>44726</v>
      </c>
      <c r="E421" s="41">
        <v>44726</v>
      </c>
      <c r="F421" s="42" t="s">
        <v>1156</v>
      </c>
      <c r="G421" s="43"/>
      <c r="H421" s="43" t="s">
        <v>1161</v>
      </c>
      <c r="I421" s="43"/>
      <c r="J421" s="43" t="s">
        <v>14</v>
      </c>
      <c r="K421" s="43" t="s">
        <v>360</v>
      </c>
      <c r="L421" s="44" t="str">
        <f>IF(Tabla2[[#This Row],[Fecha de Resp]]&gt;Tabla2[[#This Row],[Fecha MAX de Resp]],"Retrasado",IF(Tabla2[[#This Row],[Fecha de Resp]]=0,"Pendiente",IF(Tabla2[[#This Row],[Fecha de Resp]]&lt;=Tabla2[[#This Row],[Fecha MAX de Resp]],"A Tiempo",0)))</f>
        <v>A Tiempo</v>
      </c>
      <c r="M421" s="44"/>
      <c r="N421" s="44"/>
      <c r="O421" s="48" t="b">
        <f>EXACT(Tabla2[[#This Row],[Fecha de Recibido]],Tabla2[[#This Row],[Fecha MAX de Resp]])</f>
        <v>0</v>
      </c>
      <c r="P421" s="48" t="b">
        <f>EXACT(Tabla2[[#This Row],[Fecha de Recibido]],Tabla2[[#This Row],[Fecha de Resp]])</f>
        <v>0</v>
      </c>
      <c r="Q421" s="45">
        <f>DATE(YEAR(Tabla2[[#This Row],[Fecha de Recibido]]),MONTH(Tabla2[[#This Row],[Fecha de Recibido]]),1)</f>
        <v>44713</v>
      </c>
      <c r="R421" s="45" t="s">
        <v>63</v>
      </c>
    </row>
    <row r="422" spans="1:18" s="42" customFormat="1" ht="36.75" customHeight="1">
      <c r="A422" s="63">
        <v>44720</v>
      </c>
      <c r="B422" s="42" t="s">
        <v>32</v>
      </c>
      <c r="C422" s="42" t="s">
        <v>1162</v>
      </c>
      <c r="D422" s="41">
        <v>44726</v>
      </c>
      <c r="E422" s="41">
        <v>44726</v>
      </c>
      <c r="F422" s="42" t="s">
        <v>1156</v>
      </c>
      <c r="G422" s="43"/>
      <c r="H422" s="43" t="s">
        <v>1163</v>
      </c>
      <c r="I422" s="43"/>
      <c r="J422" s="43" t="s">
        <v>8</v>
      </c>
      <c r="K422" s="43" t="s">
        <v>360</v>
      </c>
      <c r="L422" s="44" t="str">
        <f>IF(Tabla2[[#This Row],[Fecha de Resp]]&gt;Tabla2[[#This Row],[Fecha MAX de Resp]],"Retrasado",IF(Tabla2[[#This Row],[Fecha de Resp]]=0,"Pendiente",IF(Tabla2[[#This Row],[Fecha de Resp]]&lt;=Tabla2[[#This Row],[Fecha MAX de Resp]],"A Tiempo",0)))</f>
        <v>A Tiempo</v>
      </c>
      <c r="M422" s="44"/>
      <c r="N422" s="44"/>
      <c r="O422" s="48" t="b">
        <f>EXACT(Tabla2[[#This Row],[Fecha de Recibido]],Tabla2[[#This Row],[Fecha MAX de Resp]])</f>
        <v>0</v>
      </c>
      <c r="P422" s="48" t="b">
        <f>EXACT(Tabla2[[#This Row],[Fecha de Recibido]],Tabla2[[#This Row],[Fecha de Resp]])</f>
        <v>0</v>
      </c>
      <c r="Q422" s="45">
        <f>DATE(YEAR(Tabla2[[#This Row],[Fecha de Recibido]]),MONTH(Tabla2[[#This Row],[Fecha de Recibido]]),1)</f>
        <v>44713</v>
      </c>
      <c r="R422" s="45" t="s">
        <v>63</v>
      </c>
    </row>
    <row r="423" spans="1:18" s="42" customFormat="1" ht="36.75" customHeight="1">
      <c r="A423" s="63">
        <v>44720</v>
      </c>
      <c r="B423" s="42" t="s">
        <v>17</v>
      </c>
      <c r="C423" s="42" t="s">
        <v>1164</v>
      </c>
      <c r="D423" s="41">
        <v>44727</v>
      </c>
      <c r="E423" s="41">
        <v>44727</v>
      </c>
      <c r="F423" s="42" t="s">
        <v>1165</v>
      </c>
      <c r="G423" s="43"/>
      <c r="H423" s="43" t="s">
        <v>1166</v>
      </c>
      <c r="I423" s="43"/>
      <c r="J423" s="43" t="s">
        <v>3</v>
      </c>
      <c r="K423" s="43" t="s">
        <v>12</v>
      </c>
      <c r="L423" s="44" t="str">
        <f>IF(Tabla2[[#This Row],[Fecha de Resp]]&gt;Tabla2[[#This Row],[Fecha MAX de Resp]],"Retrasado",IF(Tabla2[[#This Row],[Fecha de Resp]]=0,"Pendiente",IF(Tabla2[[#This Row],[Fecha de Resp]]&lt;=Tabla2[[#This Row],[Fecha MAX de Resp]],"A Tiempo",0)))</f>
        <v>A Tiempo</v>
      </c>
      <c r="M423" s="44"/>
      <c r="N423" s="44"/>
      <c r="O423" s="48" t="b">
        <f>EXACT(Tabla2[[#This Row],[Fecha de Recibido]],Tabla2[[#This Row],[Fecha MAX de Resp]])</f>
        <v>0</v>
      </c>
      <c r="P423" s="48" t="b">
        <f>EXACT(Tabla2[[#This Row],[Fecha de Recibido]],Tabla2[[#This Row],[Fecha de Resp]])</f>
        <v>0</v>
      </c>
      <c r="Q423" s="45">
        <f>DATE(YEAR(Tabla2[[#This Row],[Fecha de Recibido]]),MONTH(Tabla2[[#This Row],[Fecha de Recibido]]),1)</f>
        <v>44713</v>
      </c>
      <c r="R423" s="45" t="s">
        <v>63</v>
      </c>
    </row>
    <row r="424" spans="1:18" s="42" customFormat="1" ht="36.75" customHeight="1">
      <c r="A424" s="63">
        <v>44720</v>
      </c>
      <c r="B424" s="42" t="s">
        <v>17</v>
      </c>
      <c r="C424" s="42" t="s">
        <v>1164</v>
      </c>
      <c r="D424" s="41">
        <v>44727</v>
      </c>
      <c r="E424" s="41">
        <v>44727</v>
      </c>
      <c r="F424" s="42" t="s">
        <v>1165</v>
      </c>
      <c r="G424" s="43"/>
      <c r="H424" s="43" t="s">
        <v>1167</v>
      </c>
      <c r="I424" s="43"/>
      <c r="J424" s="43" t="s">
        <v>8</v>
      </c>
      <c r="K424" s="43" t="s">
        <v>12</v>
      </c>
      <c r="L424" s="44" t="str">
        <f>IF(Tabla2[[#This Row],[Fecha de Resp]]&gt;Tabla2[[#This Row],[Fecha MAX de Resp]],"Retrasado",IF(Tabla2[[#This Row],[Fecha de Resp]]=0,"Pendiente",IF(Tabla2[[#This Row],[Fecha de Resp]]&lt;=Tabla2[[#This Row],[Fecha MAX de Resp]],"A Tiempo",0)))</f>
        <v>A Tiempo</v>
      </c>
      <c r="M424" s="44"/>
      <c r="N424" s="44"/>
      <c r="O424" s="48" t="b">
        <f>EXACT(Tabla2[[#This Row],[Fecha de Recibido]],Tabla2[[#This Row],[Fecha MAX de Resp]])</f>
        <v>0</v>
      </c>
      <c r="P424" s="48" t="b">
        <f>EXACT(Tabla2[[#This Row],[Fecha de Recibido]],Tabla2[[#This Row],[Fecha de Resp]])</f>
        <v>0</v>
      </c>
      <c r="Q424" s="45">
        <f>DATE(YEAR(Tabla2[[#This Row],[Fecha de Recibido]]),MONTH(Tabla2[[#This Row],[Fecha de Recibido]]),1)</f>
        <v>44713</v>
      </c>
      <c r="R424" s="45" t="s">
        <v>63</v>
      </c>
    </row>
    <row r="425" spans="1:18" s="42" customFormat="1" ht="36.75" customHeight="1">
      <c r="A425" s="63">
        <v>44720</v>
      </c>
      <c r="B425" s="42" t="s">
        <v>17</v>
      </c>
      <c r="C425" s="42" t="s">
        <v>1164</v>
      </c>
      <c r="D425" s="41">
        <v>44727</v>
      </c>
      <c r="E425" s="41">
        <v>44727</v>
      </c>
      <c r="F425" s="42" t="s">
        <v>1165</v>
      </c>
      <c r="G425" s="43"/>
      <c r="H425" s="43" t="s">
        <v>1168</v>
      </c>
      <c r="I425" s="43"/>
      <c r="J425" s="43" t="s">
        <v>14</v>
      </c>
      <c r="K425" s="43" t="s">
        <v>12</v>
      </c>
      <c r="L425" s="44" t="str">
        <f>IF(Tabla2[[#This Row],[Fecha de Resp]]&gt;Tabla2[[#This Row],[Fecha MAX de Resp]],"Retrasado",IF(Tabla2[[#This Row],[Fecha de Resp]]=0,"Pendiente",IF(Tabla2[[#This Row],[Fecha de Resp]]&lt;=Tabla2[[#This Row],[Fecha MAX de Resp]],"A Tiempo",0)))</f>
        <v>A Tiempo</v>
      </c>
      <c r="M425" s="44"/>
      <c r="N425" s="44"/>
      <c r="O425" s="48" t="b">
        <f>EXACT(Tabla2[[#This Row],[Fecha de Recibido]],Tabla2[[#This Row],[Fecha MAX de Resp]])</f>
        <v>0</v>
      </c>
      <c r="P425" s="48" t="b">
        <f>EXACT(Tabla2[[#This Row],[Fecha de Recibido]],Tabla2[[#This Row],[Fecha de Resp]])</f>
        <v>0</v>
      </c>
      <c r="Q425" s="45">
        <f>DATE(YEAR(Tabla2[[#This Row],[Fecha de Recibido]]),MONTH(Tabla2[[#This Row],[Fecha de Recibido]]),1)</f>
        <v>44713</v>
      </c>
      <c r="R425" s="45" t="s">
        <v>63</v>
      </c>
    </row>
    <row r="426" spans="1:18" s="42" customFormat="1" ht="36.75" customHeight="1">
      <c r="A426" s="63">
        <v>44720</v>
      </c>
      <c r="B426" s="42" t="s">
        <v>17</v>
      </c>
      <c r="C426" s="42" t="s">
        <v>1164</v>
      </c>
      <c r="D426" s="41">
        <v>44727</v>
      </c>
      <c r="E426" s="41">
        <v>44727</v>
      </c>
      <c r="F426" s="42" t="s">
        <v>1165</v>
      </c>
      <c r="G426" s="43"/>
      <c r="H426" s="43" t="s">
        <v>1169</v>
      </c>
      <c r="I426" s="43"/>
      <c r="J426" s="43" t="s">
        <v>11</v>
      </c>
      <c r="K426" s="43" t="s">
        <v>12</v>
      </c>
      <c r="L426" s="44" t="str">
        <f>IF(Tabla2[[#This Row],[Fecha de Resp]]&gt;Tabla2[[#This Row],[Fecha MAX de Resp]],"Retrasado",IF(Tabla2[[#This Row],[Fecha de Resp]]=0,"Pendiente",IF(Tabla2[[#This Row],[Fecha de Resp]]&lt;=Tabla2[[#This Row],[Fecha MAX de Resp]],"A Tiempo",0)))</f>
        <v>A Tiempo</v>
      </c>
      <c r="M426" s="44"/>
      <c r="N426" s="44"/>
      <c r="O426" s="48" t="b">
        <f>EXACT(Tabla2[[#This Row],[Fecha de Recibido]],Tabla2[[#This Row],[Fecha MAX de Resp]])</f>
        <v>0</v>
      </c>
      <c r="P426" s="48" t="b">
        <f>EXACT(Tabla2[[#This Row],[Fecha de Recibido]],Tabla2[[#This Row],[Fecha de Resp]])</f>
        <v>0</v>
      </c>
      <c r="Q426" s="45">
        <f>DATE(YEAR(Tabla2[[#This Row],[Fecha de Recibido]]),MONTH(Tabla2[[#This Row],[Fecha de Recibido]]),1)</f>
        <v>44713</v>
      </c>
      <c r="R426" s="45" t="s">
        <v>63</v>
      </c>
    </row>
    <row r="427" spans="1:18" s="42" customFormat="1" ht="36.75" customHeight="1">
      <c r="A427" s="63">
        <v>44720</v>
      </c>
      <c r="B427" s="42" t="s">
        <v>17</v>
      </c>
      <c r="C427" s="42" t="s">
        <v>1170</v>
      </c>
      <c r="D427" s="41">
        <v>44735</v>
      </c>
      <c r="E427" s="41">
        <v>44733</v>
      </c>
      <c r="F427" s="42" t="s">
        <v>1171</v>
      </c>
      <c r="G427" s="43"/>
      <c r="H427" s="43" t="s">
        <v>1172</v>
      </c>
      <c r="I427" s="43"/>
      <c r="J427" s="43" t="s">
        <v>3</v>
      </c>
      <c r="K427" s="43" t="s">
        <v>12</v>
      </c>
      <c r="L427" s="44" t="str">
        <f>IF(Tabla2[[#This Row],[Fecha de Resp]]&gt;Tabla2[[#This Row],[Fecha MAX de Resp]],"Retrasado",IF(Tabla2[[#This Row],[Fecha de Resp]]=0,"Pendiente",IF(Tabla2[[#This Row],[Fecha de Resp]]&lt;=Tabla2[[#This Row],[Fecha MAX de Resp]],"A Tiempo",0)))</f>
        <v>A Tiempo</v>
      </c>
      <c r="M427" s="44"/>
      <c r="N427" s="44"/>
      <c r="O427" s="48" t="b">
        <f>EXACT(Tabla2[[#This Row],[Fecha de Recibido]],Tabla2[[#This Row],[Fecha MAX de Resp]])</f>
        <v>0</v>
      </c>
      <c r="P427" s="48" t="b">
        <f>EXACT(Tabla2[[#This Row],[Fecha de Recibido]],Tabla2[[#This Row],[Fecha de Resp]])</f>
        <v>0</v>
      </c>
      <c r="Q427" s="45">
        <f>DATE(YEAR(Tabla2[[#This Row],[Fecha de Recibido]]),MONTH(Tabla2[[#This Row],[Fecha de Recibido]]),1)</f>
        <v>44713</v>
      </c>
      <c r="R427" s="45" t="s">
        <v>63</v>
      </c>
    </row>
    <row r="428" spans="1:18" s="42" customFormat="1" ht="36.75" customHeight="1">
      <c r="A428" s="63">
        <v>44718</v>
      </c>
      <c r="B428" s="42" t="s">
        <v>17</v>
      </c>
      <c r="C428" s="42" t="s">
        <v>1173</v>
      </c>
      <c r="D428" s="41">
        <v>44711</v>
      </c>
      <c r="E428" s="41">
        <v>44711</v>
      </c>
      <c r="F428" s="42" t="s">
        <v>1174</v>
      </c>
      <c r="G428" s="43"/>
      <c r="H428" s="43" t="s">
        <v>1175</v>
      </c>
      <c r="I428" s="43"/>
      <c r="J428" s="43" t="s">
        <v>8</v>
      </c>
      <c r="K428" s="43" t="s">
        <v>360</v>
      </c>
      <c r="L428" s="44" t="str">
        <f>IF(Tabla2[[#This Row],[Fecha de Resp]]&gt;Tabla2[[#This Row],[Fecha MAX de Resp]],"Retrasado",IF(Tabla2[[#This Row],[Fecha de Resp]]=0,"Pendiente",IF(Tabla2[[#This Row],[Fecha de Resp]]&lt;=Tabla2[[#This Row],[Fecha MAX de Resp]],"A Tiempo",0)))</f>
        <v>A Tiempo</v>
      </c>
      <c r="M428" s="44"/>
      <c r="N428" s="44"/>
      <c r="O428" s="48" t="b">
        <f>EXACT(Tabla2[[#This Row],[Fecha de Recibido]],Tabla2[[#This Row],[Fecha MAX de Resp]])</f>
        <v>0</v>
      </c>
      <c r="P428" s="48" t="b">
        <f>EXACT(Tabla2[[#This Row],[Fecha de Recibido]],Tabla2[[#This Row],[Fecha de Resp]])</f>
        <v>0</v>
      </c>
      <c r="Q428" s="45">
        <f>DATE(YEAR(Tabla2[[#This Row],[Fecha de Recibido]]),MONTH(Tabla2[[#This Row],[Fecha de Recibido]]),1)</f>
        <v>44713</v>
      </c>
      <c r="R428" s="45" t="s">
        <v>63</v>
      </c>
    </row>
    <row r="429" spans="1:18" s="42" customFormat="1" ht="36.75" customHeight="1">
      <c r="A429" s="63">
        <v>44718</v>
      </c>
      <c r="B429" s="42" t="s">
        <v>17</v>
      </c>
      <c r="C429" s="42" t="s">
        <v>1173</v>
      </c>
      <c r="D429" s="41">
        <v>44711</v>
      </c>
      <c r="E429" s="41">
        <v>44711</v>
      </c>
      <c r="F429" s="42" t="s">
        <v>1176</v>
      </c>
      <c r="G429" s="43"/>
      <c r="H429" s="43" t="s">
        <v>1175</v>
      </c>
      <c r="I429" s="43"/>
      <c r="J429" s="43" t="s">
        <v>3</v>
      </c>
      <c r="K429" s="43" t="s">
        <v>360</v>
      </c>
      <c r="L429" s="44" t="str">
        <f>IF(Tabla2[[#This Row],[Fecha de Resp]]&gt;Tabla2[[#This Row],[Fecha MAX de Resp]],"Retrasado",IF(Tabla2[[#This Row],[Fecha de Resp]]=0,"Pendiente",IF(Tabla2[[#This Row],[Fecha de Resp]]&lt;=Tabla2[[#This Row],[Fecha MAX de Resp]],"A Tiempo",0)))</f>
        <v>A Tiempo</v>
      </c>
      <c r="M429" s="44"/>
      <c r="N429" s="44"/>
      <c r="O429" s="48" t="b">
        <f>EXACT(Tabla2[[#This Row],[Fecha de Recibido]],Tabla2[[#This Row],[Fecha MAX de Resp]])</f>
        <v>0</v>
      </c>
      <c r="P429" s="48" t="b">
        <f>EXACT(Tabla2[[#This Row],[Fecha de Recibido]],Tabla2[[#This Row],[Fecha de Resp]])</f>
        <v>0</v>
      </c>
      <c r="Q429" s="45">
        <f>DATE(YEAR(Tabla2[[#This Row],[Fecha de Recibido]]),MONTH(Tabla2[[#This Row],[Fecha de Recibido]]),1)</f>
        <v>44713</v>
      </c>
      <c r="R429" s="45" t="s">
        <v>63</v>
      </c>
    </row>
    <row r="430" spans="1:18" s="42" customFormat="1" ht="36.75" customHeight="1">
      <c r="A430" s="63">
        <v>44712</v>
      </c>
      <c r="B430" s="42" t="s">
        <v>32</v>
      </c>
      <c r="C430" s="42" t="s">
        <v>1177</v>
      </c>
      <c r="D430" s="41">
        <v>44712</v>
      </c>
      <c r="E430" s="41">
        <v>44712</v>
      </c>
      <c r="F430" s="42" t="s">
        <v>1178</v>
      </c>
      <c r="G430" s="43"/>
      <c r="H430" s="43" t="s">
        <v>1179</v>
      </c>
      <c r="I430" s="43"/>
      <c r="J430" s="43" t="s">
        <v>3</v>
      </c>
      <c r="K430" s="43" t="s">
        <v>360</v>
      </c>
      <c r="L430" s="44" t="str">
        <f>IF(Tabla2[[#This Row],[Fecha de Resp]]&gt;Tabla2[[#This Row],[Fecha MAX de Resp]],"Retrasado",IF(Tabla2[[#This Row],[Fecha de Resp]]=0,"Pendiente",IF(Tabla2[[#This Row],[Fecha de Resp]]&lt;=Tabla2[[#This Row],[Fecha MAX de Resp]],"A Tiempo",0)))</f>
        <v>A Tiempo</v>
      </c>
      <c r="M430" s="44"/>
      <c r="N430" s="44"/>
      <c r="O430" s="48" t="b">
        <f>EXACT(Tabla2[[#This Row],[Fecha de Recibido]],Tabla2[[#This Row],[Fecha MAX de Resp]])</f>
        <v>1</v>
      </c>
      <c r="P430" s="48" t="b">
        <f>EXACT(Tabla2[[#This Row],[Fecha de Recibido]],Tabla2[[#This Row],[Fecha de Resp]])</f>
        <v>1</v>
      </c>
      <c r="Q430" s="45">
        <f>DATE(YEAR(Tabla2[[#This Row],[Fecha de Recibido]]),MONTH(Tabla2[[#This Row],[Fecha de Recibido]]),1)</f>
        <v>44682</v>
      </c>
      <c r="R430" s="45" t="s">
        <v>63</v>
      </c>
    </row>
    <row r="431" spans="1:18" s="42" customFormat="1" ht="36.75" customHeight="1">
      <c r="A431" s="63">
        <v>44712</v>
      </c>
      <c r="B431" s="42" t="s">
        <v>32</v>
      </c>
      <c r="C431" s="42" t="s">
        <v>1180</v>
      </c>
      <c r="D431" s="41">
        <v>44712</v>
      </c>
      <c r="E431" s="41">
        <v>44712</v>
      </c>
      <c r="F431" s="42" t="s">
        <v>1181</v>
      </c>
      <c r="G431" s="43"/>
      <c r="H431" s="43" t="s">
        <v>1182</v>
      </c>
      <c r="I431" s="43"/>
      <c r="J431" s="43" t="s">
        <v>3</v>
      </c>
      <c r="K431" s="43" t="s">
        <v>360</v>
      </c>
      <c r="L431" s="44" t="str">
        <f>IF(Tabla2[[#This Row],[Fecha de Resp]]&gt;Tabla2[[#This Row],[Fecha MAX de Resp]],"Retrasado",IF(Tabla2[[#This Row],[Fecha de Resp]]=0,"Pendiente",IF(Tabla2[[#This Row],[Fecha de Resp]]&lt;=Tabla2[[#This Row],[Fecha MAX de Resp]],"A Tiempo",0)))</f>
        <v>A Tiempo</v>
      </c>
      <c r="M431" s="44"/>
      <c r="N431" s="44"/>
      <c r="O431" s="48" t="b">
        <f>EXACT(Tabla2[[#This Row],[Fecha de Recibido]],Tabla2[[#This Row],[Fecha MAX de Resp]])</f>
        <v>1</v>
      </c>
      <c r="P431" s="48" t="b">
        <f>EXACT(Tabla2[[#This Row],[Fecha de Recibido]],Tabla2[[#This Row],[Fecha de Resp]])</f>
        <v>1</v>
      </c>
      <c r="Q431" s="45">
        <f>DATE(YEAR(Tabla2[[#This Row],[Fecha de Recibido]]),MONTH(Tabla2[[#This Row],[Fecha de Recibido]]),1)</f>
        <v>44682</v>
      </c>
      <c r="R431" s="45" t="s">
        <v>63</v>
      </c>
    </row>
    <row r="432" spans="1:18" s="42" customFormat="1" ht="36.75" customHeight="1">
      <c r="A432" s="63">
        <v>44712</v>
      </c>
      <c r="B432" s="42" t="s">
        <v>32</v>
      </c>
      <c r="C432" s="42" t="s">
        <v>1183</v>
      </c>
      <c r="D432" s="41">
        <v>44712</v>
      </c>
      <c r="E432" s="41">
        <v>44712</v>
      </c>
      <c r="F432" s="42" t="s">
        <v>1184</v>
      </c>
      <c r="G432" s="43"/>
      <c r="H432" s="43" t="s">
        <v>1185</v>
      </c>
      <c r="I432" s="43"/>
      <c r="J432" s="43" t="s">
        <v>3</v>
      </c>
      <c r="K432" s="43" t="s">
        <v>360</v>
      </c>
      <c r="L432" s="44" t="str">
        <f>IF(Tabla2[[#This Row],[Fecha de Resp]]&gt;Tabla2[[#This Row],[Fecha MAX de Resp]],"Retrasado",IF(Tabla2[[#This Row],[Fecha de Resp]]=0,"Pendiente",IF(Tabla2[[#This Row],[Fecha de Resp]]&lt;=Tabla2[[#This Row],[Fecha MAX de Resp]],"A Tiempo",0)))</f>
        <v>A Tiempo</v>
      </c>
      <c r="M432" s="44"/>
      <c r="N432" s="44"/>
      <c r="O432" s="48" t="b">
        <f>EXACT(Tabla2[[#This Row],[Fecha de Recibido]],Tabla2[[#This Row],[Fecha MAX de Resp]])</f>
        <v>1</v>
      </c>
      <c r="P432" s="48" t="b">
        <f>EXACT(Tabla2[[#This Row],[Fecha de Recibido]],Tabla2[[#This Row],[Fecha de Resp]])</f>
        <v>1</v>
      </c>
      <c r="Q432" s="45">
        <f>DATE(YEAR(Tabla2[[#This Row],[Fecha de Recibido]]),MONTH(Tabla2[[#This Row],[Fecha de Recibido]]),1)</f>
        <v>44682</v>
      </c>
      <c r="R432" s="45" t="s">
        <v>63</v>
      </c>
    </row>
    <row r="433" spans="1:18" s="42" customFormat="1" ht="36.75" customHeight="1">
      <c r="A433" s="63">
        <v>44707</v>
      </c>
      <c r="B433" s="42" t="s">
        <v>32</v>
      </c>
      <c r="C433" s="42" t="s">
        <v>1186</v>
      </c>
      <c r="D433" s="41">
        <v>44707</v>
      </c>
      <c r="E433" s="41">
        <v>44707</v>
      </c>
      <c r="F433" s="42" t="s">
        <v>1187</v>
      </c>
      <c r="G433" s="43"/>
      <c r="H433" s="43" t="s">
        <v>1188</v>
      </c>
      <c r="I433" s="43"/>
      <c r="J433" s="43" t="s">
        <v>11</v>
      </c>
      <c r="K433" s="43" t="s">
        <v>360</v>
      </c>
      <c r="L433" s="44" t="str">
        <f>IF(Tabla2[[#This Row],[Fecha de Resp]]&gt;Tabla2[[#This Row],[Fecha MAX de Resp]],"Retrasado",IF(Tabla2[[#This Row],[Fecha de Resp]]=0,"Pendiente",IF(Tabla2[[#This Row],[Fecha de Resp]]&lt;=Tabla2[[#This Row],[Fecha MAX de Resp]],"A Tiempo",0)))</f>
        <v>A Tiempo</v>
      </c>
      <c r="M433" s="44"/>
      <c r="N433" s="44"/>
      <c r="O433" s="48" t="b">
        <f>EXACT(Tabla2[[#This Row],[Fecha de Recibido]],Tabla2[[#This Row],[Fecha MAX de Resp]])</f>
        <v>1</v>
      </c>
      <c r="P433" s="48" t="b">
        <f>EXACT(Tabla2[[#This Row],[Fecha de Recibido]],Tabla2[[#This Row],[Fecha de Resp]])</f>
        <v>1</v>
      </c>
      <c r="Q433" s="45">
        <f>DATE(YEAR(Tabla2[[#This Row],[Fecha de Recibido]]),MONTH(Tabla2[[#This Row],[Fecha de Recibido]]),1)</f>
        <v>44682</v>
      </c>
      <c r="R433" s="45" t="s">
        <v>63</v>
      </c>
    </row>
    <row r="434" spans="1:18" s="42" customFormat="1" ht="36.75" customHeight="1">
      <c r="A434" s="63">
        <v>44707</v>
      </c>
      <c r="B434" s="42" t="s">
        <v>32</v>
      </c>
      <c r="C434" s="42" t="s">
        <v>1186</v>
      </c>
      <c r="D434" s="41">
        <v>44707</v>
      </c>
      <c r="E434" s="41">
        <v>44707</v>
      </c>
      <c r="F434" s="42" t="s">
        <v>1187</v>
      </c>
      <c r="G434" s="43"/>
      <c r="H434" s="43" t="s">
        <v>1189</v>
      </c>
      <c r="I434" s="43"/>
      <c r="J434" s="43" t="s">
        <v>14</v>
      </c>
      <c r="K434" s="43" t="s">
        <v>360</v>
      </c>
      <c r="L434" s="44" t="str">
        <f>IF(Tabla2[[#This Row],[Fecha de Resp]]&gt;Tabla2[[#This Row],[Fecha MAX de Resp]],"Retrasado",IF(Tabla2[[#This Row],[Fecha de Resp]]=0,"Pendiente",IF(Tabla2[[#This Row],[Fecha de Resp]]&lt;=Tabla2[[#This Row],[Fecha MAX de Resp]],"A Tiempo",0)))</f>
        <v>A Tiempo</v>
      </c>
      <c r="M434" s="44"/>
      <c r="N434" s="44"/>
      <c r="O434" s="48" t="b">
        <f>EXACT(Tabla2[[#This Row],[Fecha de Recibido]],Tabla2[[#This Row],[Fecha MAX de Resp]])</f>
        <v>1</v>
      </c>
      <c r="P434" s="48" t="b">
        <f>EXACT(Tabla2[[#This Row],[Fecha de Recibido]],Tabla2[[#This Row],[Fecha de Resp]])</f>
        <v>1</v>
      </c>
      <c r="Q434" s="45">
        <f>DATE(YEAR(Tabla2[[#This Row],[Fecha de Recibido]]),MONTH(Tabla2[[#This Row],[Fecha de Recibido]]),1)</f>
        <v>44682</v>
      </c>
      <c r="R434" s="45" t="s">
        <v>63</v>
      </c>
    </row>
    <row r="435" spans="1:18" s="42" customFormat="1" ht="36.75" customHeight="1">
      <c r="A435" s="63">
        <v>44707</v>
      </c>
      <c r="B435" s="42" t="s">
        <v>32</v>
      </c>
      <c r="C435" s="42" t="s">
        <v>1186</v>
      </c>
      <c r="D435" s="41">
        <v>44707</v>
      </c>
      <c r="E435" s="41">
        <v>44707</v>
      </c>
      <c r="F435" s="42" t="s">
        <v>1187</v>
      </c>
      <c r="G435" s="43"/>
      <c r="H435" s="43" t="s">
        <v>1190</v>
      </c>
      <c r="I435" s="43"/>
      <c r="J435" s="43" t="s">
        <v>3</v>
      </c>
      <c r="K435" s="43" t="s">
        <v>360</v>
      </c>
      <c r="L435" s="44" t="str">
        <f>IF(Tabla2[[#This Row],[Fecha de Resp]]&gt;Tabla2[[#This Row],[Fecha MAX de Resp]],"Retrasado",IF(Tabla2[[#This Row],[Fecha de Resp]]=0,"Pendiente",IF(Tabla2[[#This Row],[Fecha de Resp]]&lt;=Tabla2[[#This Row],[Fecha MAX de Resp]],"A Tiempo",0)))</f>
        <v>A Tiempo</v>
      </c>
      <c r="M435" s="44"/>
      <c r="N435" s="44"/>
      <c r="O435" s="48" t="b">
        <f>EXACT(Tabla2[[#This Row],[Fecha de Recibido]],Tabla2[[#This Row],[Fecha MAX de Resp]])</f>
        <v>1</v>
      </c>
      <c r="P435" s="48" t="b">
        <f>EXACT(Tabla2[[#This Row],[Fecha de Recibido]],Tabla2[[#This Row],[Fecha de Resp]])</f>
        <v>1</v>
      </c>
      <c r="Q435" s="45">
        <f>DATE(YEAR(Tabla2[[#This Row],[Fecha de Recibido]]),MONTH(Tabla2[[#This Row],[Fecha de Recibido]]),1)</f>
        <v>44682</v>
      </c>
      <c r="R435" s="45" t="s">
        <v>63</v>
      </c>
    </row>
    <row r="436" spans="1:18" s="42" customFormat="1" ht="36.75" customHeight="1">
      <c r="A436" s="63">
        <v>44707</v>
      </c>
      <c r="B436" s="42" t="s">
        <v>32</v>
      </c>
      <c r="C436" s="42" t="s">
        <v>1186</v>
      </c>
      <c r="D436" s="41">
        <v>44707</v>
      </c>
      <c r="E436" s="41">
        <v>44707</v>
      </c>
      <c r="F436" s="42" t="s">
        <v>1187</v>
      </c>
      <c r="G436" s="43"/>
      <c r="H436" s="43" t="s">
        <v>1191</v>
      </c>
      <c r="I436" s="43"/>
      <c r="J436" s="43" t="s">
        <v>8</v>
      </c>
      <c r="K436" s="43" t="s">
        <v>360</v>
      </c>
      <c r="L436" s="44" t="str">
        <f>IF(Tabla2[[#This Row],[Fecha de Resp]]&gt;Tabla2[[#This Row],[Fecha MAX de Resp]],"Retrasado",IF(Tabla2[[#This Row],[Fecha de Resp]]=0,"Pendiente",IF(Tabla2[[#This Row],[Fecha de Resp]]&lt;=Tabla2[[#This Row],[Fecha MAX de Resp]],"A Tiempo",0)))</f>
        <v>A Tiempo</v>
      </c>
      <c r="M436" s="44"/>
      <c r="N436" s="44"/>
      <c r="O436" s="48" t="b">
        <f>EXACT(Tabla2[[#This Row],[Fecha de Recibido]],Tabla2[[#This Row],[Fecha MAX de Resp]])</f>
        <v>1</v>
      </c>
      <c r="P436" s="48" t="b">
        <f>EXACT(Tabla2[[#This Row],[Fecha de Recibido]],Tabla2[[#This Row],[Fecha de Resp]])</f>
        <v>1</v>
      </c>
      <c r="Q436" s="45">
        <f>DATE(YEAR(Tabla2[[#This Row],[Fecha de Recibido]]),MONTH(Tabla2[[#This Row],[Fecha de Recibido]]),1)</f>
        <v>44682</v>
      </c>
      <c r="R436" s="45" t="s">
        <v>63</v>
      </c>
    </row>
    <row r="437" spans="1:18" s="42" customFormat="1" ht="36.75" customHeight="1">
      <c r="A437" s="63">
        <v>44698</v>
      </c>
      <c r="B437" s="42" t="s">
        <v>17</v>
      </c>
      <c r="C437" s="42" t="s">
        <v>1192</v>
      </c>
      <c r="D437" s="41">
        <v>44701</v>
      </c>
      <c r="E437" s="41">
        <v>44699</v>
      </c>
      <c r="F437" s="42" t="s">
        <v>1193</v>
      </c>
      <c r="G437" s="43"/>
      <c r="H437" s="43" t="s">
        <v>1194</v>
      </c>
      <c r="I437" s="43"/>
      <c r="J437" s="43" t="s">
        <v>11</v>
      </c>
      <c r="K437" s="43" t="s">
        <v>12</v>
      </c>
      <c r="L437" s="44" t="str">
        <f>IF(Tabla2[[#This Row],[Fecha de Resp]]&gt;Tabla2[[#This Row],[Fecha MAX de Resp]],"Retrasado",IF(Tabla2[[#This Row],[Fecha de Resp]]=0,"Pendiente",IF(Tabla2[[#This Row],[Fecha de Resp]]&lt;=Tabla2[[#This Row],[Fecha MAX de Resp]],"A Tiempo",0)))</f>
        <v>A Tiempo</v>
      </c>
      <c r="M437" s="44"/>
      <c r="N437" s="44"/>
      <c r="O437" s="48" t="b">
        <f>EXACT(Tabla2[[#This Row],[Fecha de Recibido]],Tabla2[[#This Row],[Fecha MAX de Resp]])</f>
        <v>0</v>
      </c>
      <c r="P437" s="48" t="b">
        <f>EXACT(Tabla2[[#This Row],[Fecha de Recibido]],Tabla2[[#This Row],[Fecha de Resp]])</f>
        <v>0</v>
      </c>
      <c r="Q437" s="45">
        <f>DATE(YEAR(Tabla2[[#This Row],[Fecha de Recibido]]),MONTH(Tabla2[[#This Row],[Fecha de Recibido]]),1)</f>
        <v>44682</v>
      </c>
      <c r="R437" s="45" t="s">
        <v>63</v>
      </c>
    </row>
    <row r="438" spans="1:18" s="42" customFormat="1" ht="36.75" customHeight="1">
      <c r="A438" s="63">
        <v>44693</v>
      </c>
      <c r="B438" s="42" t="s">
        <v>32</v>
      </c>
      <c r="C438" s="42" t="s">
        <v>1195</v>
      </c>
      <c r="D438" s="41">
        <v>44823</v>
      </c>
      <c r="E438" s="41">
        <v>44823</v>
      </c>
      <c r="F438" s="42" t="s">
        <v>1196</v>
      </c>
      <c r="G438" s="43"/>
      <c r="H438" s="43" t="s">
        <v>1197</v>
      </c>
      <c r="I438" s="43" t="s">
        <v>1198</v>
      </c>
      <c r="J438" s="43" t="s">
        <v>8</v>
      </c>
      <c r="K438" s="43" t="s">
        <v>360</v>
      </c>
      <c r="L438" s="44" t="str">
        <f>IF(Tabla2[[#This Row],[Fecha de Resp]]&gt;Tabla2[[#This Row],[Fecha MAX de Resp]],"Retrasado",IF(Tabla2[[#This Row],[Fecha de Resp]]=0,"Pendiente",IF(Tabla2[[#This Row],[Fecha de Resp]]&lt;=Tabla2[[#This Row],[Fecha MAX de Resp]],"A Tiempo",0)))</f>
        <v>A Tiempo</v>
      </c>
      <c r="M438" s="44"/>
      <c r="N438" s="44"/>
      <c r="O438" s="48" t="b">
        <f>EXACT(Tabla2[[#This Row],[Fecha de Recibido]],Tabla2[[#This Row],[Fecha MAX de Resp]])</f>
        <v>0</v>
      </c>
      <c r="P438" s="48" t="b">
        <f>EXACT(Tabla2[[#This Row],[Fecha de Recibido]],Tabla2[[#This Row],[Fecha de Resp]])</f>
        <v>0</v>
      </c>
      <c r="Q438" s="45">
        <f>DATE(YEAR(Tabla2[[#This Row],[Fecha de Recibido]]),MONTH(Tabla2[[#This Row],[Fecha de Recibido]]),1)</f>
        <v>44682</v>
      </c>
      <c r="R438" s="45" t="s">
        <v>63</v>
      </c>
    </row>
    <row r="439" spans="1:18" s="42" customFormat="1" ht="36.75" customHeight="1">
      <c r="A439" s="63">
        <v>44686</v>
      </c>
      <c r="B439" s="42" t="s">
        <v>17</v>
      </c>
      <c r="C439" s="42" t="s">
        <v>1199</v>
      </c>
      <c r="D439" s="41">
        <v>44700</v>
      </c>
      <c r="E439" s="41">
        <v>44699</v>
      </c>
      <c r="F439" s="42" t="s">
        <v>1200</v>
      </c>
      <c r="G439" s="43"/>
      <c r="H439" s="43" t="s">
        <v>1201</v>
      </c>
      <c r="I439" s="43"/>
      <c r="J439" s="43" t="s">
        <v>3</v>
      </c>
      <c r="K439" s="43" t="s">
        <v>12</v>
      </c>
      <c r="L439" s="44" t="str">
        <f>IF(Tabla2[[#This Row],[Fecha de Resp]]&gt;Tabla2[[#This Row],[Fecha MAX de Resp]],"Retrasado",IF(Tabla2[[#This Row],[Fecha de Resp]]=0,"Pendiente",IF(Tabla2[[#This Row],[Fecha de Resp]]&lt;=Tabla2[[#This Row],[Fecha MAX de Resp]],"A Tiempo",0)))</f>
        <v>A Tiempo</v>
      </c>
      <c r="M439" s="44"/>
      <c r="N439" s="44"/>
      <c r="O439" s="48" t="b">
        <f>EXACT(Tabla2[[#This Row],[Fecha de Recibido]],Tabla2[[#This Row],[Fecha MAX de Resp]])</f>
        <v>0</v>
      </c>
      <c r="P439" s="48" t="b">
        <f>EXACT(Tabla2[[#This Row],[Fecha de Recibido]],Tabla2[[#This Row],[Fecha de Resp]])</f>
        <v>0</v>
      </c>
      <c r="Q439" s="45">
        <f>DATE(YEAR(Tabla2[[#This Row],[Fecha de Recibido]]),MONTH(Tabla2[[#This Row],[Fecha de Recibido]]),1)</f>
        <v>44682</v>
      </c>
      <c r="R439" s="45" t="s">
        <v>63</v>
      </c>
    </row>
    <row r="440" spans="1:18" s="42" customFormat="1" ht="36.75" customHeight="1">
      <c r="A440" s="63">
        <v>44682</v>
      </c>
      <c r="B440" s="42" t="s">
        <v>30</v>
      </c>
      <c r="C440" s="42" t="s">
        <v>1202</v>
      </c>
      <c r="D440" s="41">
        <v>44773</v>
      </c>
      <c r="E440" s="41">
        <v>44738</v>
      </c>
      <c r="F440" s="42" t="s">
        <v>1203</v>
      </c>
      <c r="G440" s="43"/>
      <c r="H440" s="43" t="s">
        <v>1204</v>
      </c>
      <c r="I440" s="43"/>
      <c r="J440" s="43" t="s">
        <v>11</v>
      </c>
      <c r="K440" s="43" t="s">
        <v>352</v>
      </c>
      <c r="L440" s="44" t="str">
        <f>IF(Tabla2[[#This Row],[Fecha de Resp]]&gt;Tabla2[[#This Row],[Fecha MAX de Resp]],"Retrasado",IF(Tabla2[[#This Row],[Fecha de Resp]]=0,"Pendiente",IF(Tabla2[[#This Row],[Fecha de Resp]]&lt;=Tabla2[[#This Row],[Fecha MAX de Resp]],"A Tiempo",0)))</f>
        <v>A Tiempo</v>
      </c>
      <c r="M440" s="44"/>
      <c r="N440" s="44"/>
      <c r="O440" s="48" t="b">
        <f>EXACT(Tabla2[[#This Row],[Fecha de Recibido]],Tabla2[[#This Row],[Fecha MAX de Resp]])</f>
        <v>0</v>
      </c>
      <c r="P440" s="48" t="b">
        <f>EXACT(Tabla2[[#This Row],[Fecha de Recibido]],Tabla2[[#This Row],[Fecha de Resp]])</f>
        <v>0</v>
      </c>
      <c r="Q440" s="45">
        <f>DATE(YEAR(Tabla2[[#This Row],[Fecha de Recibido]]),MONTH(Tabla2[[#This Row],[Fecha de Recibido]]),1)</f>
        <v>44682</v>
      </c>
      <c r="R440" s="45" t="s">
        <v>63</v>
      </c>
    </row>
    <row r="441" spans="1:18" s="42" customFormat="1" ht="36.75" customHeight="1">
      <c r="A441" s="63">
        <v>44682</v>
      </c>
      <c r="B441" s="42" t="s">
        <v>30</v>
      </c>
      <c r="C441" s="42" t="s">
        <v>1202</v>
      </c>
      <c r="D441" s="41">
        <v>44773</v>
      </c>
      <c r="E441" s="41">
        <v>44738</v>
      </c>
      <c r="F441" s="42" t="s">
        <v>1205</v>
      </c>
      <c r="G441" s="43"/>
      <c r="H441" s="43" t="s">
        <v>1206</v>
      </c>
      <c r="I441" s="43"/>
      <c r="J441" s="43" t="s">
        <v>14</v>
      </c>
      <c r="K441" s="43" t="s">
        <v>352</v>
      </c>
      <c r="L441" s="44" t="str">
        <f>IF(Tabla2[[#This Row],[Fecha de Resp]]&gt;Tabla2[[#This Row],[Fecha MAX de Resp]],"Retrasado",IF(Tabla2[[#This Row],[Fecha de Resp]]=0,"Pendiente",IF(Tabla2[[#This Row],[Fecha de Resp]]&lt;=Tabla2[[#This Row],[Fecha MAX de Resp]],"A Tiempo",0)))</f>
        <v>A Tiempo</v>
      </c>
      <c r="M441" s="44"/>
      <c r="N441" s="44"/>
      <c r="O441" s="48" t="b">
        <f>EXACT(Tabla2[[#This Row],[Fecha de Recibido]],Tabla2[[#This Row],[Fecha MAX de Resp]])</f>
        <v>0</v>
      </c>
      <c r="P441" s="48" t="b">
        <f>EXACT(Tabla2[[#This Row],[Fecha de Recibido]],Tabla2[[#This Row],[Fecha de Resp]])</f>
        <v>0</v>
      </c>
      <c r="Q441" s="45">
        <f>DATE(YEAR(Tabla2[[#This Row],[Fecha de Recibido]]),MONTH(Tabla2[[#This Row],[Fecha de Recibido]]),1)</f>
        <v>44682</v>
      </c>
      <c r="R441" s="45" t="s">
        <v>63</v>
      </c>
    </row>
    <row r="442" spans="1:18" s="42" customFormat="1" ht="36.75" customHeight="1">
      <c r="A442" s="63">
        <v>44682</v>
      </c>
      <c r="B442" s="42" t="s">
        <v>30</v>
      </c>
      <c r="C442" s="42" t="s">
        <v>1202</v>
      </c>
      <c r="D442" s="41">
        <v>44773</v>
      </c>
      <c r="E442" s="41">
        <v>44738</v>
      </c>
      <c r="F442" s="42" t="s">
        <v>1205</v>
      </c>
      <c r="G442" s="43"/>
      <c r="H442" s="43" t="s">
        <v>1207</v>
      </c>
      <c r="I442" s="43"/>
      <c r="J442" s="43" t="s">
        <v>3</v>
      </c>
      <c r="K442" s="43" t="s">
        <v>352</v>
      </c>
      <c r="L442" s="44" t="str">
        <f>IF(Tabla2[[#This Row],[Fecha de Resp]]&gt;Tabla2[[#This Row],[Fecha MAX de Resp]],"Retrasado",IF(Tabla2[[#This Row],[Fecha de Resp]]=0,"Pendiente",IF(Tabla2[[#This Row],[Fecha de Resp]]&lt;=Tabla2[[#This Row],[Fecha MAX de Resp]],"A Tiempo",0)))</f>
        <v>A Tiempo</v>
      </c>
      <c r="M442" s="44"/>
      <c r="N442" s="44"/>
      <c r="O442" s="48" t="b">
        <f>EXACT(Tabla2[[#This Row],[Fecha de Recibido]],Tabla2[[#This Row],[Fecha MAX de Resp]])</f>
        <v>0</v>
      </c>
      <c r="P442" s="48" t="b">
        <f>EXACT(Tabla2[[#This Row],[Fecha de Recibido]],Tabla2[[#This Row],[Fecha de Resp]])</f>
        <v>0</v>
      </c>
      <c r="Q442" s="45">
        <f>DATE(YEAR(Tabla2[[#This Row],[Fecha de Recibido]]),MONTH(Tabla2[[#This Row],[Fecha de Recibido]]),1)</f>
        <v>44682</v>
      </c>
      <c r="R442" s="45" t="s">
        <v>63</v>
      </c>
    </row>
    <row r="443" spans="1:18" s="42" customFormat="1" ht="36.75" customHeight="1">
      <c r="A443" s="63">
        <v>44682</v>
      </c>
      <c r="B443" s="42" t="s">
        <v>30</v>
      </c>
      <c r="C443" s="42" t="s">
        <v>1202</v>
      </c>
      <c r="D443" s="41">
        <v>44773</v>
      </c>
      <c r="E443" s="41">
        <v>44738</v>
      </c>
      <c r="F443" s="42" t="s">
        <v>1205</v>
      </c>
      <c r="G443" s="43"/>
      <c r="H443" s="43" t="s">
        <v>1208</v>
      </c>
      <c r="I443" s="43"/>
      <c r="J443" s="43" t="s">
        <v>8</v>
      </c>
      <c r="K443" s="43" t="s">
        <v>352</v>
      </c>
      <c r="L443" s="44" t="str">
        <f>IF(Tabla2[[#This Row],[Fecha de Resp]]&gt;Tabla2[[#This Row],[Fecha MAX de Resp]],"Retrasado",IF(Tabla2[[#This Row],[Fecha de Resp]]=0,"Pendiente",IF(Tabla2[[#This Row],[Fecha de Resp]]&lt;=Tabla2[[#This Row],[Fecha MAX de Resp]],"A Tiempo",0)))</f>
        <v>A Tiempo</v>
      </c>
      <c r="M443" s="44"/>
      <c r="N443" s="44"/>
      <c r="O443" s="48" t="b">
        <f>EXACT(Tabla2[[#This Row],[Fecha de Recibido]],Tabla2[[#This Row],[Fecha MAX de Resp]])</f>
        <v>0</v>
      </c>
      <c r="P443" s="48" t="b">
        <f>EXACT(Tabla2[[#This Row],[Fecha de Recibido]],Tabla2[[#This Row],[Fecha de Resp]])</f>
        <v>0</v>
      </c>
      <c r="Q443" s="45">
        <f>DATE(YEAR(Tabla2[[#This Row],[Fecha de Recibido]]),MONTH(Tabla2[[#This Row],[Fecha de Recibido]]),1)</f>
        <v>44682</v>
      </c>
      <c r="R443" s="45" t="s">
        <v>63</v>
      </c>
    </row>
    <row r="444" spans="1:18" s="42" customFormat="1" ht="36.75" customHeight="1">
      <c r="A444" s="63">
        <v>44680</v>
      </c>
      <c r="B444" s="42" t="s">
        <v>30</v>
      </c>
      <c r="C444" s="42" t="s">
        <v>1209</v>
      </c>
      <c r="D444" s="41">
        <v>44680</v>
      </c>
      <c r="E444" s="41">
        <v>44680</v>
      </c>
      <c r="F444" s="42" t="s">
        <v>1210</v>
      </c>
      <c r="G444" s="43"/>
      <c r="H444" s="43" t="s">
        <v>1211</v>
      </c>
      <c r="I444" s="43"/>
      <c r="J444" s="43" t="s">
        <v>11</v>
      </c>
      <c r="K444" s="43" t="s">
        <v>4</v>
      </c>
      <c r="L444" s="44" t="str">
        <f>IF(Tabla2[[#This Row],[Fecha de Resp]]&gt;Tabla2[[#This Row],[Fecha MAX de Resp]],"Retrasado",IF(Tabla2[[#This Row],[Fecha de Resp]]=0,"Pendiente",IF(Tabla2[[#This Row],[Fecha de Resp]]&lt;=Tabla2[[#This Row],[Fecha MAX de Resp]],"A Tiempo",0)))</f>
        <v>A Tiempo</v>
      </c>
      <c r="M444" s="44"/>
      <c r="N444" s="44"/>
      <c r="O444" s="48" t="b">
        <f>EXACT(Tabla2[[#This Row],[Fecha de Recibido]],Tabla2[[#This Row],[Fecha MAX de Resp]])</f>
        <v>1</v>
      </c>
      <c r="P444" s="48" t="b">
        <f>EXACT(Tabla2[[#This Row],[Fecha de Recibido]],Tabla2[[#This Row],[Fecha de Resp]])</f>
        <v>1</v>
      </c>
      <c r="Q444" s="45">
        <f>DATE(YEAR(Tabla2[[#This Row],[Fecha de Recibido]]),MONTH(Tabla2[[#This Row],[Fecha de Recibido]]),1)</f>
        <v>44652</v>
      </c>
      <c r="R444" s="45" t="s">
        <v>63</v>
      </c>
    </row>
    <row r="445" spans="1:18" s="42" customFormat="1" ht="36.75" customHeight="1">
      <c r="A445" s="63">
        <v>44680</v>
      </c>
      <c r="B445" s="42" t="s">
        <v>30</v>
      </c>
      <c r="C445" s="42" t="s">
        <v>1209</v>
      </c>
      <c r="D445" s="41">
        <v>44680</v>
      </c>
      <c r="E445" s="41">
        <v>44680</v>
      </c>
      <c r="F445" s="42" t="s">
        <v>1210</v>
      </c>
      <c r="G445" s="43"/>
      <c r="H445" s="43" t="s">
        <v>1212</v>
      </c>
      <c r="I445" s="43"/>
      <c r="J445" s="43" t="s">
        <v>14</v>
      </c>
      <c r="K445" s="43" t="s">
        <v>4</v>
      </c>
      <c r="L445" s="44" t="str">
        <f>IF(Tabla2[[#This Row],[Fecha de Resp]]&gt;Tabla2[[#This Row],[Fecha MAX de Resp]],"Retrasado",IF(Tabla2[[#This Row],[Fecha de Resp]]=0,"Pendiente",IF(Tabla2[[#This Row],[Fecha de Resp]]&lt;=Tabla2[[#This Row],[Fecha MAX de Resp]],"A Tiempo",0)))</f>
        <v>A Tiempo</v>
      </c>
      <c r="M445" s="44"/>
      <c r="N445" s="44"/>
      <c r="O445" s="48" t="b">
        <f>EXACT(Tabla2[[#This Row],[Fecha de Recibido]],Tabla2[[#This Row],[Fecha MAX de Resp]])</f>
        <v>1</v>
      </c>
      <c r="P445" s="48" t="b">
        <f>EXACT(Tabla2[[#This Row],[Fecha de Recibido]],Tabla2[[#This Row],[Fecha de Resp]])</f>
        <v>1</v>
      </c>
      <c r="Q445" s="45">
        <f>DATE(YEAR(Tabla2[[#This Row],[Fecha de Recibido]]),MONTH(Tabla2[[#This Row],[Fecha de Recibido]]),1)</f>
        <v>44652</v>
      </c>
      <c r="R445" s="45" t="s">
        <v>63</v>
      </c>
    </row>
    <row r="446" spans="1:18" s="42" customFormat="1" ht="36.75" customHeight="1">
      <c r="A446" s="63">
        <v>44680</v>
      </c>
      <c r="B446" s="42" t="s">
        <v>30</v>
      </c>
      <c r="C446" s="42" t="s">
        <v>1209</v>
      </c>
      <c r="D446" s="41">
        <v>44680</v>
      </c>
      <c r="E446" s="41">
        <v>44680</v>
      </c>
      <c r="F446" s="42" t="s">
        <v>1210</v>
      </c>
      <c r="G446" s="43"/>
      <c r="H446" s="43" t="s">
        <v>1213</v>
      </c>
      <c r="I446" s="43"/>
      <c r="J446" s="43" t="s">
        <v>3</v>
      </c>
      <c r="K446" s="43" t="s">
        <v>4</v>
      </c>
      <c r="L446" s="44" t="str">
        <f>IF(Tabla2[[#This Row],[Fecha de Resp]]&gt;Tabla2[[#This Row],[Fecha MAX de Resp]],"Retrasado",IF(Tabla2[[#This Row],[Fecha de Resp]]=0,"Pendiente",IF(Tabla2[[#This Row],[Fecha de Resp]]&lt;=Tabla2[[#This Row],[Fecha MAX de Resp]],"A Tiempo",0)))</f>
        <v>A Tiempo</v>
      </c>
      <c r="M446" s="44"/>
      <c r="N446" s="44"/>
      <c r="O446" s="48" t="b">
        <f>EXACT(Tabla2[[#This Row],[Fecha de Recibido]],Tabla2[[#This Row],[Fecha MAX de Resp]])</f>
        <v>1</v>
      </c>
      <c r="P446" s="48" t="b">
        <f>EXACT(Tabla2[[#This Row],[Fecha de Recibido]],Tabla2[[#This Row],[Fecha de Resp]])</f>
        <v>1</v>
      </c>
      <c r="Q446" s="45">
        <f>DATE(YEAR(Tabla2[[#This Row],[Fecha de Recibido]]),MONTH(Tabla2[[#This Row],[Fecha de Recibido]]),1)</f>
        <v>44652</v>
      </c>
      <c r="R446" s="45" t="s">
        <v>63</v>
      </c>
    </row>
    <row r="447" spans="1:18" s="42" customFormat="1" ht="36.75" customHeight="1">
      <c r="A447" s="63">
        <v>44680</v>
      </c>
      <c r="B447" s="42" t="s">
        <v>30</v>
      </c>
      <c r="C447" s="42" t="s">
        <v>1209</v>
      </c>
      <c r="D447" s="41">
        <v>44680</v>
      </c>
      <c r="E447" s="41">
        <v>44680</v>
      </c>
      <c r="F447" s="42" t="s">
        <v>1210</v>
      </c>
      <c r="G447" s="43"/>
      <c r="H447" s="43" t="s">
        <v>1214</v>
      </c>
      <c r="I447" s="43"/>
      <c r="J447" s="43" t="s">
        <v>8</v>
      </c>
      <c r="K447" s="43" t="s">
        <v>4</v>
      </c>
      <c r="L447" s="44" t="str">
        <f>IF(Tabla2[[#This Row],[Fecha de Resp]]&gt;Tabla2[[#This Row],[Fecha MAX de Resp]],"Retrasado",IF(Tabla2[[#This Row],[Fecha de Resp]]=0,"Pendiente",IF(Tabla2[[#This Row],[Fecha de Resp]]&lt;=Tabla2[[#This Row],[Fecha MAX de Resp]],"A Tiempo",0)))</f>
        <v>A Tiempo</v>
      </c>
      <c r="M447" s="44"/>
      <c r="N447" s="44"/>
      <c r="O447" s="48" t="b">
        <f>EXACT(Tabla2[[#This Row],[Fecha de Recibido]],Tabla2[[#This Row],[Fecha MAX de Resp]])</f>
        <v>1</v>
      </c>
      <c r="P447" s="48" t="b">
        <f>EXACT(Tabla2[[#This Row],[Fecha de Recibido]],Tabla2[[#This Row],[Fecha de Resp]])</f>
        <v>1</v>
      </c>
      <c r="Q447" s="45">
        <f>DATE(YEAR(Tabla2[[#This Row],[Fecha de Recibido]]),MONTH(Tabla2[[#This Row],[Fecha de Recibido]]),1)</f>
        <v>44652</v>
      </c>
      <c r="R447" s="45" t="s">
        <v>63</v>
      </c>
    </row>
    <row r="448" spans="1:18" s="42" customFormat="1" ht="36.75" customHeight="1">
      <c r="A448" s="63">
        <v>44676</v>
      </c>
      <c r="B448" s="42" t="s">
        <v>17</v>
      </c>
      <c r="C448" s="42" t="s">
        <v>1215</v>
      </c>
      <c r="D448" s="41">
        <v>44683</v>
      </c>
      <c r="E448" s="41">
        <v>44680</v>
      </c>
      <c r="F448" s="42" t="s">
        <v>1216</v>
      </c>
      <c r="G448" s="43"/>
      <c r="H448" s="43" t="s">
        <v>1217</v>
      </c>
      <c r="I448" s="43"/>
      <c r="J448" s="43" t="s">
        <v>11</v>
      </c>
      <c r="K448" s="43" t="s">
        <v>12</v>
      </c>
      <c r="L448" s="44" t="str">
        <f>IF(Tabla2[[#This Row],[Fecha de Resp]]&gt;Tabla2[[#This Row],[Fecha MAX de Resp]],"Retrasado",IF(Tabla2[[#This Row],[Fecha de Resp]]=0,"Pendiente",IF(Tabla2[[#This Row],[Fecha de Resp]]&lt;=Tabla2[[#This Row],[Fecha MAX de Resp]],"A Tiempo",0)))</f>
        <v>A Tiempo</v>
      </c>
      <c r="M448" s="44"/>
      <c r="N448" s="44"/>
      <c r="O448" s="48" t="b">
        <f>EXACT(Tabla2[[#This Row],[Fecha de Recibido]],Tabla2[[#This Row],[Fecha MAX de Resp]])</f>
        <v>0</v>
      </c>
      <c r="P448" s="48" t="b">
        <f>EXACT(Tabla2[[#This Row],[Fecha de Recibido]],Tabla2[[#This Row],[Fecha de Resp]])</f>
        <v>0</v>
      </c>
      <c r="Q448" s="45">
        <f>DATE(YEAR(Tabla2[[#This Row],[Fecha de Recibido]]),MONTH(Tabla2[[#This Row],[Fecha de Recibido]]),1)</f>
        <v>44652</v>
      </c>
      <c r="R448" s="45" t="s">
        <v>63</v>
      </c>
    </row>
    <row r="449" spans="1:18" s="42" customFormat="1" ht="36.75" customHeight="1">
      <c r="A449" s="63">
        <v>44676</v>
      </c>
      <c r="B449" s="42" t="s">
        <v>17</v>
      </c>
      <c r="C449" s="42" t="s">
        <v>1218</v>
      </c>
      <c r="D449" s="41">
        <v>44680</v>
      </c>
      <c r="E449" s="41">
        <v>44680</v>
      </c>
      <c r="F449" s="42" t="s">
        <v>1219</v>
      </c>
      <c r="G449" s="43"/>
      <c r="H449" s="43" t="s">
        <v>1220</v>
      </c>
      <c r="I449" s="43"/>
      <c r="J449" s="43" t="s">
        <v>14</v>
      </c>
      <c r="K449" s="43" t="s">
        <v>12</v>
      </c>
      <c r="L449" s="44" t="str">
        <f>IF(Tabla2[[#This Row],[Fecha de Resp]]&gt;Tabla2[[#This Row],[Fecha MAX de Resp]],"Retrasado",IF(Tabla2[[#This Row],[Fecha de Resp]]=0,"Pendiente",IF(Tabla2[[#This Row],[Fecha de Resp]]&lt;=Tabla2[[#This Row],[Fecha MAX de Resp]],"A Tiempo",0)))</f>
        <v>A Tiempo</v>
      </c>
      <c r="M449" s="44"/>
      <c r="N449" s="44"/>
      <c r="O449" s="48" t="b">
        <f>EXACT(Tabla2[[#This Row],[Fecha de Recibido]],Tabla2[[#This Row],[Fecha MAX de Resp]])</f>
        <v>0</v>
      </c>
      <c r="P449" s="48" t="b">
        <f>EXACT(Tabla2[[#This Row],[Fecha de Recibido]],Tabla2[[#This Row],[Fecha de Resp]])</f>
        <v>0</v>
      </c>
      <c r="Q449" s="45">
        <f>DATE(YEAR(Tabla2[[#This Row],[Fecha de Recibido]]),MONTH(Tabla2[[#This Row],[Fecha de Recibido]]),1)</f>
        <v>44652</v>
      </c>
      <c r="R449" s="45" t="s">
        <v>63</v>
      </c>
    </row>
    <row r="450" spans="1:18" s="42" customFormat="1" ht="36.75" customHeight="1">
      <c r="A450" s="63">
        <v>44676</v>
      </c>
      <c r="B450" s="42" t="s">
        <v>17</v>
      </c>
      <c r="C450" s="42" t="s">
        <v>1218</v>
      </c>
      <c r="D450" s="41">
        <v>44680</v>
      </c>
      <c r="E450" s="41">
        <v>44680</v>
      </c>
      <c r="F450" s="42" t="s">
        <v>1219</v>
      </c>
      <c r="G450" s="43"/>
      <c r="H450" s="43" t="s">
        <v>1221</v>
      </c>
      <c r="I450" s="43"/>
      <c r="J450" s="43" t="s">
        <v>8</v>
      </c>
      <c r="K450" s="43" t="s">
        <v>12</v>
      </c>
      <c r="L450" s="44" t="str">
        <f>IF(Tabla2[[#This Row],[Fecha de Resp]]&gt;Tabla2[[#This Row],[Fecha MAX de Resp]],"Retrasado",IF(Tabla2[[#This Row],[Fecha de Resp]]=0,"Pendiente",IF(Tabla2[[#This Row],[Fecha de Resp]]&lt;=Tabla2[[#This Row],[Fecha MAX de Resp]],"A Tiempo",0)))</f>
        <v>A Tiempo</v>
      </c>
      <c r="M450" s="44"/>
      <c r="N450" s="44"/>
      <c r="O450" s="48" t="b">
        <f>EXACT(Tabla2[[#This Row],[Fecha de Recibido]],Tabla2[[#This Row],[Fecha MAX de Resp]])</f>
        <v>0</v>
      </c>
      <c r="P450" s="48" t="b">
        <f>EXACT(Tabla2[[#This Row],[Fecha de Recibido]],Tabla2[[#This Row],[Fecha de Resp]])</f>
        <v>0</v>
      </c>
      <c r="Q450" s="45">
        <f>DATE(YEAR(Tabla2[[#This Row],[Fecha de Recibido]]),MONTH(Tabla2[[#This Row],[Fecha de Recibido]]),1)</f>
        <v>44652</v>
      </c>
      <c r="R450" s="45" t="s">
        <v>63</v>
      </c>
    </row>
    <row r="451" spans="1:18" s="42" customFormat="1" ht="36.75" customHeight="1">
      <c r="A451" s="63">
        <v>44676</v>
      </c>
      <c r="B451" s="42" t="s">
        <v>17</v>
      </c>
      <c r="C451" s="42" t="s">
        <v>1218</v>
      </c>
      <c r="D451" s="41">
        <v>44680</v>
      </c>
      <c r="E451" s="41">
        <v>44680</v>
      </c>
      <c r="F451" s="42" t="s">
        <v>1219</v>
      </c>
      <c r="G451" s="43"/>
      <c r="H451" s="43" t="s">
        <v>1222</v>
      </c>
      <c r="I451" s="43"/>
      <c r="J451" s="43" t="s">
        <v>3</v>
      </c>
      <c r="K451" s="43" t="s">
        <v>12</v>
      </c>
      <c r="L451" s="44" t="str">
        <f>IF(Tabla2[[#This Row],[Fecha de Resp]]&gt;Tabla2[[#This Row],[Fecha MAX de Resp]],"Retrasado",IF(Tabla2[[#This Row],[Fecha de Resp]]=0,"Pendiente",IF(Tabla2[[#This Row],[Fecha de Resp]]&lt;=Tabla2[[#This Row],[Fecha MAX de Resp]],"A Tiempo",0)))</f>
        <v>A Tiempo</v>
      </c>
      <c r="M451" s="44"/>
      <c r="N451" s="44"/>
      <c r="O451" s="48" t="b">
        <f>EXACT(Tabla2[[#This Row],[Fecha de Recibido]],Tabla2[[#This Row],[Fecha MAX de Resp]])</f>
        <v>0</v>
      </c>
      <c r="P451" s="48" t="b">
        <f>EXACT(Tabla2[[#This Row],[Fecha de Recibido]],Tabla2[[#This Row],[Fecha de Resp]])</f>
        <v>0</v>
      </c>
      <c r="Q451" s="45">
        <f>DATE(YEAR(Tabla2[[#This Row],[Fecha de Recibido]]),MONTH(Tabla2[[#This Row],[Fecha de Recibido]]),1)</f>
        <v>44652</v>
      </c>
      <c r="R451" s="45" t="s">
        <v>63</v>
      </c>
    </row>
    <row r="452" spans="1:18" s="42" customFormat="1" ht="36.75" customHeight="1">
      <c r="A452" s="63">
        <v>44676</v>
      </c>
      <c r="B452" s="42" t="s">
        <v>17</v>
      </c>
      <c r="C452" s="42" t="s">
        <v>1223</v>
      </c>
      <c r="D452" s="41">
        <v>44680</v>
      </c>
      <c r="E452" s="41">
        <v>44680</v>
      </c>
      <c r="F452" s="42" t="s">
        <v>1224</v>
      </c>
      <c r="G452" s="43"/>
      <c r="H452" s="43" t="s">
        <v>1225</v>
      </c>
      <c r="I452" s="43"/>
      <c r="J452" s="43" t="s">
        <v>11</v>
      </c>
      <c r="K452" s="43" t="s">
        <v>12</v>
      </c>
      <c r="L452" s="44" t="str">
        <f>IF(Tabla2[[#This Row],[Fecha de Resp]]&gt;Tabla2[[#This Row],[Fecha MAX de Resp]],"Retrasado",IF(Tabla2[[#This Row],[Fecha de Resp]]=0,"Pendiente",IF(Tabla2[[#This Row],[Fecha de Resp]]&lt;=Tabla2[[#This Row],[Fecha MAX de Resp]],"A Tiempo",0)))</f>
        <v>A Tiempo</v>
      </c>
      <c r="M452" s="44"/>
      <c r="N452" s="44"/>
      <c r="O452" s="48" t="b">
        <f>EXACT(Tabla2[[#This Row],[Fecha de Recibido]],Tabla2[[#This Row],[Fecha MAX de Resp]])</f>
        <v>0</v>
      </c>
      <c r="P452" s="48" t="b">
        <f>EXACT(Tabla2[[#This Row],[Fecha de Recibido]],Tabla2[[#This Row],[Fecha de Resp]])</f>
        <v>0</v>
      </c>
      <c r="Q452" s="45">
        <f>DATE(YEAR(Tabla2[[#This Row],[Fecha de Recibido]]),MONTH(Tabla2[[#This Row],[Fecha de Recibido]]),1)</f>
        <v>44652</v>
      </c>
      <c r="R452" s="45" t="s">
        <v>63</v>
      </c>
    </row>
    <row r="453" spans="1:18" s="42" customFormat="1" ht="36.75" customHeight="1">
      <c r="A453" s="63">
        <v>44673</v>
      </c>
      <c r="B453" s="42" t="s">
        <v>17</v>
      </c>
      <c r="C453" s="42" t="s">
        <v>1226</v>
      </c>
      <c r="D453" s="41">
        <v>44677</v>
      </c>
      <c r="E453" s="41">
        <v>44677</v>
      </c>
      <c r="F453" s="42" t="s">
        <v>1227</v>
      </c>
      <c r="G453" s="43"/>
      <c r="H453" s="43" t="s">
        <v>1228</v>
      </c>
      <c r="I453" s="43"/>
      <c r="J453" s="43" t="s">
        <v>14</v>
      </c>
      <c r="K453" s="43" t="s">
        <v>12</v>
      </c>
      <c r="L453" s="44" t="str">
        <f>IF(Tabla2[[#This Row],[Fecha de Resp]]&gt;Tabla2[[#This Row],[Fecha MAX de Resp]],"Retrasado",IF(Tabla2[[#This Row],[Fecha de Resp]]=0,"Pendiente",IF(Tabla2[[#This Row],[Fecha de Resp]]&lt;=Tabla2[[#This Row],[Fecha MAX de Resp]],"A Tiempo",0)))</f>
        <v>A Tiempo</v>
      </c>
      <c r="M453" s="44"/>
      <c r="N453" s="44"/>
      <c r="O453" s="48" t="b">
        <f>EXACT(Tabla2[[#This Row],[Fecha de Recibido]],Tabla2[[#This Row],[Fecha MAX de Resp]])</f>
        <v>0</v>
      </c>
      <c r="P453" s="48" t="b">
        <f>EXACT(Tabla2[[#This Row],[Fecha de Recibido]],Tabla2[[#This Row],[Fecha de Resp]])</f>
        <v>0</v>
      </c>
      <c r="Q453" s="45">
        <f>DATE(YEAR(Tabla2[[#This Row],[Fecha de Recibido]]),MONTH(Tabla2[[#This Row],[Fecha de Recibido]]),1)</f>
        <v>44652</v>
      </c>
      <c r="R453" s="45" t="s">
        <v>63</v>
      </c>
    </row>
    <row r="454" spans="1:18" s="42" customFormat="1" ht="36.75" customHeight="1">
      <c r="A454" s="63">
        <v>44673</v>
      </c>
      <c r="B454" s="42" t="s">
        <v>17</v>
      </c>
      <c r="C454" s="42" t="s">
        <v>1229</v>
      </c>
      <c r="D454" s="41">
        <v>44677</v>
      </c>
      <c r="E454" s="41">
        <v>44677</v>
      </c>
      <c r="F454" s="42" t="s">
        <v>1230</v>
      </c>
      <c r="G454" s="43"/>
      <c r="H454" s="43" t="s">
        <v>1231</v>
      </c>
      <c r="I454" s="43"/>
      <c r="J454" s="43" t="s">
        <v>3</v>
      </c>
      <c r="K454" s="43" t="s">
        <v>12</v>
      </c>
      <c r="L454" s="44" t="str">
        <f>IF(Tabla2[[#This Row],[Fecha de Resp]]&gt;Tabla2[[#This Row],[Fecha MAX de Resp]],"Retrasado",IF(Tabla2[[#This Row],[Fecha de Resp]]=0,"Pendiente",IF(Tabla2[[#This Row],[Fecha de Resp]]&lt;=Tabla2[[#This Row],[Fecha MAX de Resp]],"A Tiempo",0)))</f>
        <v>A Tiempo</v>
      </c>
      <c r="M454" s="44"/>
      <c r="N454" s="44"/>
      <c r="O454" s="48" t="b">
        <f>EXACT(Tabla2[[#This Row],[Fecha de Recibido]],Tabla2[[#This Row],[Fecha MAX de Resp]])</f>
        <v>0</v>
      </c>
      <c r="P454" s="48" t="b">
        <f>EXACT(Tabla2[[#This Row],[Fecha de Recibido]],Tabla2[[#This Row],[Fecha de Resp]])</f>
        <v>0</v>
      </c>
      <c r="Q454" s="45">
        <f>DATE(YEAR(Tabla2[[#This Row],[Fecha de Recibido]]),MONTH(Tabla2[[#This Row],[Fecha de Recibido]]),1)</f>
        <v>44652</v>
      </c>
      <c r="R454" s="45" t="s">
        <v>63</v>
      </c>
    </row>
    <row r="455" spans="1:18" s="42" customFormat="1" ht="36.75" customHeight="1">
      <c r="A455" s="63">
        <v>44671</v>
      </c>
      <c r="B455" s="42" t="s">
        <v>17</v>
      </c>
      <c r="C455" s="42" t="s">
        <v>1232</v>
      </c>
      <c r="D455" s="41">
        <v>44671</v>
      </c>
      <c r="E455" s="41">
        <v>44671</v>
      </c>
      <c r="F455" s="42" t="s">
        <v>1227</v>
      </c>
      <c r="G455" s="43"/>
      <c r="H455" s="43" t="s">
        <v>1233</v>
      </c>
      <c r="I455" s="43"/>
      <c r="J455" s="43" t="s">
        <v>3</v>
      </c>
      <c r="K455" s="43" t="s">
        <v>12</v>
      </c>
      <c r="L455" s="44" t="str">
        <f>IF(Tabla2[[#This Row],[Fecha de Resp]]&gt;Tabla2[[#This Row],[Fecha MAX de Resp]],"Retrasado",IF(Tabla2[[#This Row],[Fecha de Resp]]=0,"Pendiente",IF(Tabla2[[#This Row],[Fecha de Resp]]&lt;=Tabla2[[#This Row],[Fecha MAX de Resp]],"A Tiempo",0)))</f>
        <v>A Tiempo</v>
      </c>
      <c r="M455" s="44"/>
      <c r="N455" s="44"/>
      <c r="O455" s="48" t="b">
        <f>EXACT(Tabla2[[#This Row],[Fecha de Recibido]],Tabla2[[#This Row],[Fecha MAX de Resp]])</f>
        <v>1</v>
      </c>
      <c r="P455" s="48" t="b">
        <f>EXACT(Tabla2[[#This Row],[Fecha de Recibido]],Tabla2[[#This Row],[Fecha de Resp]])</f>
        <v>1</v>
      </c>
      <c r="Q455" s="45">
        <f>DATE(YEAR(Tabla2[[#This Row],[Fecha de Recibido]]),MONTH(Tabla2[[#This Row],[Fecha de Recibido]]),1)</f>
        <v>44652</v>
      </c>
      <c r="R455" s="45" t="s">
        <v>63</v>
      </c>
    </row>
    <row r="456" spans="1:18" s="42" customFormat="1" ht="36.75" customHeight="1">
      <c r="A456" s="63">
        <v>44671</v>
      </c>
      <c r="B456" s="42" t="s">
        <v>17</v>
      </c>
      <c r="C456" s="42" t="s">
        <v>1234</v>
      </c>
      <c r="D456" s="41">
        <v>44678</v>
      </c>
      <c r="E456" s="41">
        <v>44677</v>
      </c>
      <c r="F456" s="42" t="s">
        <v>1235</v>
      </c>
      <c r="G456" s="43"/>
      <c r="H456" s="43" t="s">
        <v>1236</v>
      </c>
      <c r="I456" s="43"/>
      <c r="J456" s="43" t="s">
        <v>14</v>
      </c>
      <c r="K456" s="43" t="s">
        <v>12</v>
      </c>
      <c r="L456" s="44" t="str">
        <f>IF(Tabla2[[#This Row],[Fecha de Resp]]&gt;Tabla2[[#This Row],[Fecha MAX de Resp]],"Retrasado",IF(Tabla2[[#This Row],[Fecha de Resp]]=0,"Pendiente",IF(Tabla2[[#This Row],[Fecha de Resp]]&lt;=Tabla2[[#This Row],[Fecha MAX de Resp]],"A Tiempo",0)))</f>
        <v>A Tiempo</v>
      </c>
      <c r="M456" s="44"/>
      <c r="N456" s="44"/>
      <c r="O456" s="48" t="b">
        <f>EXACT(Tabla2[[#This Row],[Fecha de Recibido]],Tabla2[[#This Row],[Fecha MAX de Resp]])</f>
        <v>0</v>
      </c>
      <c r="P456" s="48" t="b">
        <f>EXACT(Tabla2[[#This Row],[Fecha de Recibido]],Tabla2[[#This Row],[Fecha de Resp]])</f>
        <v>0</v>
      </c>
      <c r="Q456" s="45">
        <f>DATE(YEAR(Tabla2[[#This Row],[Fecha de Recibido]]),MONTH(Tabla2[[#This Row],[Fecha de Recibido]]),1)</f>
        <v>44652</v>
      </c>
      <c r="R456" s="45" t="s">
        <v>63</v>
      </c>
    </row>
    <row r="457" spans="1:18" s="42" customFormat="1" ht="36.75" customHeight="1">
      <c r="A457" s="63">
        <v>44671</v>
      </c>
      <c r="B457" s="42" t="s">
        <v>17</v>
      </c>
      <c r="C457" s="42" t="s">
        <v>1234</v>
      </c>
      <c r="D457" s="41">
        <v>44678</v>
      </c>
      <c r="E457" s="41">
        <v>44677</v>
      </c>
      <c r="F457" s="42" t="s">
        <v>1235</v>
      </c>
      <c r="G457" s="43"/>
      <c r="H457" s="43" t="s">
        <v>1237</v>
      </c>
      <c r="I457" s="43"/>
      <c r="J457" s="43" t="s">
        <v>11</v>
      </c>
      <c r="K457" s="43" t="s">
        <v>12</v>
      </c>
      <c r="L457" s="44" t="str">
        <f>IF(Tabla2[[#This Row],[Fecha de Resp]]&gt;Tabla2[[#This Row],[Fecha MAX de Resp]],"Retrasado",IF(Tabla2[[#This Row],[Fecha de Resp]]=0,"Pendiente",IF(Tabla2[[#This Row],[Fecha de Resp]]&lt;=Tabla2[[#This Row],[Fecha MAX de Resp]],"A Tiempo",0)))</f>
        <v>A Tiempo</v>
      </c>
      <c r="M457" s="44"/>
      <c r="N457" s="44"/>
      <c r="O457" s="48" t="b">
        <f>EXACT(Tabla2[[#This Row],[Fecha de Recibido]],Tabla2[[#This Row],[Fecha MAX de Resp]])</f>
        <v>0</v>
      </c>
      <c r="P457" s="48" t="b">
        <f>EXACT(Tabla2[[#This Row],[Fecha de Recibido]],Tabla2[[#This Row],[Fecha de Resp]])</f>
        <v>0</v>
      </c>
      <c r="Q457" s="45">
        <f>DATE(YEAR(Tabla2[[#This Row],[Fecha de Recibido]]),MONTH(Tabla2[[#This Row],[Fecha de Recibido]]),1)</f>
        <v>44652</v>
      </c>
      <c r="R457" s="45" t="s">
        <v>63</v>
      </c>
    </row>
    <row r="458" spans="1:18" s="42" customFormat="1" ht="36.75" customHeight="1">
      <c r="A458" s="63">
        <v>44671</v>
      </c>
      <c r="B458" s="42" t="s">
        <v>17</v>
      </c>
      <c r="C458" s="42" t="s">
        <v>1238</v>
      </c>
      <c r="D458" s="41">
        <v>44671</v>
      </c>
      <c r="E458" s="41">
        <v>44671</v>
      </c>
      <c r="F458" s="42" t="s">
        <v>1239</v>
      </c>
      <c r="G458" s="43"/>
      <c r="H458" s="43" t="s">
        <v>1240</v>
      </c>
      <c r="I458" s="43"/>
      <c r="J458" s="43" t="s">
        <v>8</v>
      </c>
      <c r="K458" s="43" t="s">
        <v>12</v>
      </c>
      <c r="L458" s="44" t="str">
        <f>IF(Tabla2[[#This Row],[Fecha de Resp]]&gt;Tabla2[[#This Row],[Fecha MAX de Resp]],"Retrasado",IF(Tabla2[[#This Row],[Fecha de Resp]]=0,"Pendiente",IF(Tabla2[[#This Row],[Fecha de Resp]]&lt;=Tabla2[[#This Row],[Fecha MAX de Resp]],"A Tiempo",0)))</f>
        <v>A Tiempo</v>
      </c>
      <c r="M458" s="44"/>
      <c r="N458" s="44"/>
      <c r="O458" s="48" t="b">
        <f>EXACT(Tabla2[[#This Row],[Fecha de Recibido]],Tabla2[[#This Row],[Fecha MAX de Resp]])</f>
        <v>1</v>
      </c>
      <c r="P458" s="48" t="b">
        <f>EXACT(Tabla2[[#This Row],[Fecha de Recibido]],Tabla2[[#This Row],[Fecha de Resp]])</f>
        <v>1</v>
      </c>
      <c r="Q458" s="45">
        <f>DATE(YEAR(Tabla2[[#This Row],[Fecha de Recibido]]),MONTH(Tabla2[[#This Row],[Fecha de Recibido]]),1)</f>
        <v>44652</v>
      </c>
      <c r="R458" s="45" t="s">
        <v>63</v>
      </c>
    </row>
    <row r="459" spans="1:18" s="42" customFormat="1" ht="36.75" customHeight="1">
      <c r="A459" s="63">
        <v>44663</v>
      </c>
      <c r="B459" s="42" t="s">
        <v>17</v>
      </c>
      <c r="C459" s="42" t="s">
        <v>1241</v>
      </c>
      <c r="D459" s="41">
        <v>44663</v>
      </c>
      <c r="E459" s="41">
        <v>44663</v>
      </c>
      <c r="F459" s="42" t="s">
        <v>1242</v>
      </c>
      <c r="G459" s="43"/>
      <c r="H459" s="43" t="s">
        <v>1243</v>
      </c>
      <c r="I459" s="43"/>
      <c r="J459" s="43" t="s">
        <v>11</v>
      </c>
      <c r="K459" s="43" t="s">
        <v>19</v>
      </c>
      <c r="L459" s="44" t="str">
        <f>IF(Tabla2[[#This Row],[Fecha de Resp]]&gt;Tabla2[[#This Row],[Fecha MAX de Resp]],"Retrasado",IF(Tabla2[[#This Row],[Fecha de Resp]]=0,"Pendiente",IF(Tabla2[[#This Row],[Fecha de Resp]]&lt;=Tabla2[[#This Row],[Fecha MAX de Resp]],"A Tiempo",0)))</f>
        <v>A Tiempo</v>
      </c>
      <c r="M459" s="44"/>
      <c r="N459" s="44"/>
      <c r="O459" s="48" t="b">
        <f>EXACT(Tabla2[[#This Row],[Fecha de Recibido]],Tabla2[[#This Row],[Fecha MAX de Resp]])</f>
        <v>1</v>
      </c>
      <c r="P459" s="48" t="b">
        <f>EXACT(Tabla2[[#This Row],[Fecha de Recibido]],Tabla2[[#This Row],[Fecha de Resp]])</f>
        <v>1</v>
      </c>
      <c r="Q459" s="45">
        <f>DATE(YEAR(Tabla2[[#This Row],[Fecha de Recibido]]),MONTH(Tabla2[[#This Row],[Fecha de Recibido]]),1)</f>
        <v>44652</v>
      </c>
      <c r="R459" s="45" t="s">
        <v>63</v>
      </c>
    </row>
    <row r="460" spans="1:18" s="42" customFormat="1" ht="36.75" customHeight="1">
      <c r="A460" s="63">
        <v>44658</v>
      </c>
      <c r="B460" s="42" t="s">
        <v>17</v>
      </c>
      <c r="C460" s="42" t="s">
        <v>1244</v>
      </c>
      <c r="D460" s="41">
        <v>44676</v>
      </c>
      <c r="E460" s="41">
        <v>44673</v>
      </c>
      <c r="F460" s="42" t="s">
        <v>1245</v>
      </c>
      <c r="G460" s="43"/>
      <c r="H460" s="43" t="s">
        <v>1246</v>
      </c>
      <c r="I460" s="43"/>
      <c r="J460" s="43" t="s">
        <v>3</v>
      </c>
      <c r="K460" s="43" t="s">
        <v>12</v>
      </c>
      <c r="L460" s="44" t="str">
        <f>IF(Tabla2[[#This Row],[Fecha de Resp]]&gt;Tabla2[[#This Row],[Fecha MAX de Resp]],"Retrasado",IF(Tabla2[[#This Row],[Fecha de Resp]]=0,"Pendiente",IF(Tabla2[[#This Row],[Fecha de Resp]]&lt;=Tabla2[[#This Row],[Fecha MAX de Resp]],"A Tiempo",0)))</f>
        <v>A Tiempo</v>
      </c>
      <c r="M460" s="44"/>
      <c r="N460" s="44"/>
      <c r="O460" s="48" t="b">
        <f>EXACT(Tabla2[[#This Row],[Fecha de Recibido]],Tabla2[[#This Row],[Fecha MAX de Resp]])</f>
        <v>0</v>
      </c>
      <c r="P460" s="48" t="b">
        <f>EXACT(Tabla2[[#This Row],[Fecha de Recibido]],Tabla2[[#This Row],[Fecha de Resp]])</f>
        <v>0</v>
      </c>
      <c r="Q460" s="45">
        <f>DATE(YEAR(Tabla2[[#This Row],[Fecha de Recibido]]),MONTH(Tabla2[[#This Row],[Fecha de Recibido]]),1)</f>
        <v>44652</v>
      </c>
      <c r="R460" s="45" t="s">
        <v>63</v>
      </c>
    </row>
    <row r="461" spans="1:18" s="42" customFormat="1" ht="36.75" customHeight="1">
      <c r="A461" s="63">
        <v>44656</v>
      </c>
      <c r="B461" s="42" t="s">
        <v>30</v>
      </c>
      <c r="C461" s="42" t="s">
        <v>1247</v>
      </c>
      <c r="D461" s="41">
        <v>44656</v>
      </c>
      <c r="E461" s="41">
        <v>44656</v>
      </c>
      <c r="F461" s="42" t="s">
        <v>1248</v>
      </c>
      <c r="G461" s="43"/>
      <c r="H461" s="43" t="s">
        <v>1249</v>
      </c>
      <c r="I461" s="43"/>
      <c r="J461" s="43" t="s">
        <v>14</v>
      </c>
      <c r="K461" s="43" t="s">
        <v>25</v>
      </c>
      <c r="L461" s="44" t="str">
        <f>IF(Tabla2[[#This Row],[Fecha de Resp]]&gt;Tabla2[[#This Row],[Fecha MAX de Resp]],"Retrasado",IF(Tabla2[[#This Row],[Fecha de Resp]]=0,"Pendiente",IF(Tabla2[[#This Row],[Fecha de Resp]]&lt;=Tabla2[[#This Row],[Fecha MAX de Resp]],"A Tiempo",0)))</f>
        <v>A Tiempo</v>
      </c>
      <c r="M461" s="44"/>
      <c r="N461" s="44"/>
      <c r="O461" s="48" t="b">
        <f>EXACT(Tabla2[[#This Row],[Fecha de Recibido]],Tabla2[[#This Row],[Fecha MAX de Resp]])</f>
        <v>1</v>
      </c>
      <c r="P461" s="48" t="b">
        <f>EXACT(Tabla2[[#This Row],[Fecha de Recibido]],Tabla2[[#This Row],[Fecha de Resp]])</f>
        <v>1</v>
      </c>
      <c r="Q461" s="45">
        <f>DATE(YEAR(Tabla2[[#This Row],[Fecha de Recibido]]),MONTH(Tabla2[[#This Row],[Fecha de Recibido]]),1)</f>
        <v>44652</v>
      </c>
      <c r="R461" s="45" t="s">
        <v>63</v>
      </c>
    </row>
    <row r="462" spans="1:18" s="42" customFormat="1" ht="36.75" customHeight="1">
      <c r="A462" s="63">
        <v>44651</v>
      </c>
      <c r="B462" s="42" t="s">
        <v>17</v>
      </c>
      <c r="C462" s="42" t="s">
        <v>1250</v>
      </c>
      <c r="D462" s="41">
        <v>44656</v>
      </c>
      <c r="E462" s="41">
        <v>44655</v>
      </c>
      <c r="F462" s="42" t="s">
        <v>1251</v>
      </c>
      <c r="G462" s="43"/>
      <c r="H462" s="43" t="s">
        <v>1252</v>
      </c>
      <c r="I462" s="43"/>
      <c r="J462" s="43" t="s">
        <v>11</v>
      </c>
      <c r="K462" s="43" t="s">
        <v>12</v>
      </c>
      <c r="L462" s="44" t="str">
        <f>IF(Tabla2[[#This Row],[Fecha de Resp]]&gt;Tabla2[[#This Row],[Fecha MAX de Resp]],"Retrasado",IF(Tabla2[[#This Row],[Fecha de Resp]]=0,"Pendiente",IF(Tabla2[[#This Row],[Fecha de Resp]]&lt;=Tabla2[[#This Row],[Fecha MAX de Resp]],"A Tiempo",0)))</f>
        <v>A Tiempo</v>
      </c>
      <c r="M462" s="44"/>
      <c r="N462" s="44"/>
      <c r="O462" s="48" t="b">
        <f>EXACT(Tabla2[[#This Row],[Fecha de Recibido]],Tabla2[[#This Row],[Fecha MAX de Resp]])</f>
        <v>0</v>
      </c>
      <c r="P462" s="48" t="b">
        <f>EXACT(Tabla2[[#This Row],[Fecha de Recibido]],Tabla2[[#This Row],[Fecha de Resp]])</f>
        <v>0</v>
      </c>
      <c r="Q462" s="45">
        <f>DATE(YEAR(Tabla2[[#This Row],[Fecha de Recibido]]),MONTH(Tabla2[[#This Row],[Fecha de Recibido]]),1)</f>
        <v>44621</v>
      </c>
      <c r="R462" s="45" t="s">
        <v>63</v>
      </c>
    </row>
    <row r="463" spans="1:18" s="42" customFormat="1" ht="36.75" customHeight="1">
      <c r="A463" s="63">
        <v>44643</v>
      </c>
      <c r="B463" s="42" t="s">
        <v>32</v>
      </c>
      <c r="C463" s="42" t="s">
        <v>1253</v>
      </c>
      <c r="D463" s="41">
        <v>44643</v>
      </c>
      <c r="E463" s="41">
        <v>44643</v>
      </c>
      <c r="F463" s="42" t="s">
        <v>1254</v>
      </c>
      <c r="G463" s="43"/>
      <c r="H463" s="43" t="s">
        <v>1255</v>
      </c>
      <c r="I463" s="43"/>
      <c r="J463" s="43" t="s">
        <v>11</v>
      </c>
      <c r="K463" s="43" t="s">
        <v>12</v>
      </c>
      <c r="L463" s="44" t="str">
        <f>IF(Tabla2[[#This Row],[Fecha de Resp]]&gt;Tabla2[[#This Row],[Fecha MAX de Resp]],"Retrasado",IF(Tabla2[[#This Row],[Fecha de Resp]]=0,"Pendiente",IF(Tabla2[[#This Row],[Fecha de Resp]]&lt;=Tabla2[[#This Row],[Fecha MAX de Resp]],"A Tiempo",0)))</f>
        <v>A Tiempo</v>
      </c>
      <c r="M463" s="44"/>
      <c r="N463" s="44"/>
      <c r="O463" s="48" t="b">
        <f>EXACT(Tabla2[[#This Row],[Fecha de Recibido]],Tabla2[[#This Row],[Fecha MAX de Resp]])</f>
        <v>1</v>
      </c>
      <c r="P463" s="48" t="b">
        <f>EXACT(Tabla2[[#This Row],[Fecha de Recibido]],Tabla2[[#This Row],[Fecha de Resp]])</f>
        <v>1</v>
      </c>
      <c r="Q463" s="45">
        <f>DATE(YEAR(Tabla2[[#This Row],[Fecha de Recibido]]),MONTH(Tabla2[[#This Row],[Fecha de Recibido]]),1)</f>
        <v>44621</v>
      </c>
      <c r="R463" s="45" t="s">
        <v>63</v>
      </c>
    </row>
    <row r="464" spans="1:18" s="42" customFormat="1" ht="36.75" customHeight="1">
      <c r="A464" s="63">
        <v>44643</v>
      </c>
      <c r="B464" s="42" t="s">
        <v>32</v>
      </c>
      <c r="C464" s="42" t="s">
        <v>1256</v>
      </c>
      <c r="D464" s="41">
        <v>44643</v>
      </c>
      <c r="E464" s="41">
        <v>44643</v>
      </c>
      <c r="F464" s="42" t="s">
        <v>1254</v>
      </c>
      <c r="G464" s="43"/>
      <c r="H464" s="43" t="s">
        <v>1257</v>
      </c>
      <c r="I464" s="43"/>
      <c r="J464" s="43" t="s">
        <v>14</v>
      </c>
      <c r="K464" s="43" t="s">
        <v>4</v>
      </c>
      <c r="L464" s="44" t="str">
        <f>IF(Tabla2[[#This Row],[Fecha de Resp]]&gt;Tabla2[[#This Row],[Fecha MAX de Resp]],"Retrasado",IF(Tabla2[[#This Row],[Fecha de Resp]]=0,"Pendiente",IF(Tabla2[[#This Row],[Fecha de Resp]]&lt;=Tabla2[[#This Row],[Fecha MAX de Resp]],"A Tiempo",0)))</f>
        <v>A Tiempo</v>
      </c>
      <c r="M464" s="44"/>
      <c r="N464" s="44"/>
      <c r="O464" s="48" t="b">
        <f>EXACT(Tabla2[[#This Row],[Fecha de Recibido]],Tabla2[[#This Row],[Fecha MAX de Resp]])</f>
        <v>1</v>
      </c>
      <c r="P464" s="48" t="b">
        <f>EXACT(Tabla2[[#This Row],[Fecha de Recibido]],Tabla2[[#This Row],[Fecha de Resp]])</f>
        <v>1</v>
      </c>
      <c r="Q464" s="45">
        <f>DATE(YEAR(Tabla2[[#This Row],[Fecha de Recibido]]),MONTH(Tabla2[[#This Row],[Fecha de Recibido]]),1)</f>
        <v>44621</v>
      </c>
      <c r="R464" s="45" t="s">
        <v>63</v>
      </c>
    </row>
    <row r="465" spans="1:18" s="42" customFormat="1" ht="36.75" customHeight="1">
      <c r="A465" s="63">
        <v>44638</v>
      </c>
      <c r="B465" s="42" t="s">
        <v>32</v>
      </c>
      <c r="C465" s="42" t="s">
        <v>1258</v>
      </c>
      <c r="D465" s="41">
        <v>44638</v>
      </c>
      <c r="E465" s="41">
        <v>44638</v>
      </c>
      <c r="F465" s="42" t="s">
        <v>1259</v>
      </c>
      <c r="G465" s="43"/>
      <c r="H465" s="43" t="s">
        <v>1260</v>
      </c>
      <c r="I465" s="43"/>
      <c r="J465" s="43" t="s">
        <v>3</v>
      </c>
      <c r="K465" s="43" t="s">
        <v>4</v>
      </c>
      <c r="L465" s="44" t="str">
        <f>IF(Tabla2[[#This Row],[Fecha de Resp]]&gt;Tabla2[[#This Row],[Fecha MAX de Resp]],"Retrasado",IF(Tabla2[[#This Row],[Fecha de Resp]]=0,"Pendiente",IF(Tabla2[[#This Row],[Fecha de Resp]]&lt;=Tabla2[[#This Row],[Fecha MAX de Resp]],"A Tiempo",0)))</f>
        <v>A Tiempo</v>
      </c>
      <c r="M465" s="44"/>
      <c r="N465" s="44"/>
      <c r="O465" s="48" t="b">
        <f>EXACT(Tabla2[[#This Row],[Fecha de Recibido]],Tabla2[[#This Row],[Fecha MAX de Resp]])</f>
        <v>1</v>
      </c>
      <c r="P465" s="48" t="b">
        <f>EXACT(Tabla2[[#This Row],[Fecha de Recibido]],Tabla2[[#This Row],[Fecha de Resp]])</f>
        <v>1</v>
      </c>
      <c r="Q465" s="45">
        <f>DATE(YEAR(Tabla2[[#This Row],[Fecha de Recibido]]),MONTH(Tabla2[[#This Row],[Fecha de Recibido]]),1)</f>
        <v>44621</v>
      </c>
      <c r="R465" s="45" t="s">
        <v>63</v>
      </c>
    </row>
    <row r="466" spans="1:18" s="42" customFormat="1" ht="36.75" customHeight="1">
      <c r="A466" s="63">
        <v>44638</v>
      </c>
      <c r="B466" s="42" t="s">
        <v>32</v>
      </c>
      <c r="C466" s="42" t="s">
        <v>1258</v>
      </c>
      <c r="D466" s="41">
        <v>44638</v>
      </c>
      <c r="E466" s="41">
        <v>44638</v>
      </c>
      <c r="F466" s="42" t="s">
        <v>1258</v>
      </c>
      <c r="G466" s="43"/>
      <c r="H466" s="43" t="s">
        <v>1260</v>
      </c>
      <c r="I466" s="43"/>
      <c r="J466" s="43" t="s">
        <v>3</v>
      </c>
      <c r="K466" s="43" t="s">
        <v>4</v>
      </c>
      <c r="L466" s="44" t="str">
        <f>IF(Tabla2[[#This Row],[Fecha de Resp]]&gt;Tabla2[[#This Row],[Fecha MAX de Resp]],"Retrasado",IF(Tabla2[[#This Row],[Fecha de Resp]]=0,"Pendiente",IF(Tabla2[[#This Row],[Fecha de Resp]]&lt;=Tabla2[[#This Row],[Fecha MAX de Resp]],"A Tiempo",0)))</f>
        <v>A Tiempo</v>
      </c>
      <c r="M466" s="44"/>
      <c r="N466" s="44"/>
      <c r="O466" s="48" t="b">
        <f>EXACT(Tabla2[[#This Row],[Fecha de Recibido]],Tabla2[[#This Row],[Fecha MAX de Resp]])</f>
        <v>1</v>
      </c>
      <c r="P466" s="48" t="b">
        <f>EXACT(Tabla2[[#This Row],[Fecha de Recibido]],Tabla2[[#This Row],[Fecha de Resp]])</f>
        <v>1</v>
      </c>
      <c r="Q466" s="45">
        <f>DATE(YEAR(Tabla2[[#This Row],[Fecha de Recibido]]),MONTH(Tabla2[[#This Row],[Fecha de Recibido]]),1)</f>
        <v>44621</v>
      </c>
      <c r="R466" s="45" t="s">
        <v>63</v>
      </c>
    </row>
    <row r="467" spans="1:18" s="42" customFormat="1" ht="36.75" customHeight="1">
      <c r="A467" s="63">
        <v>44635</v>
      </c>
      <c r="B467" s="42" t="s">
        <v>17</v>
      </c>
      <c r="C467" s="42" t="s">
        <v>1261</v>
      </c>
      <c r="D467" s="41">
        <v>44635</v>
      </c>
      <c r="E467" s="41">
        <v>44635</v>
      </c>
      <c r="F467" s="42" t="s">
        <v>1262</v>
      </c>
      <c r="G467" s="43"/>
      <c r="H467" s="43" t="s">
        <v>1263</v>
      </c>
      <c r="I467" s="43"/>
      <c r="J467" s="43" t="s">
        <v>11</v>
      </c>
      <c r="K467" s="43" t="s">
        <v>360</v>
      </c>
      <c r="L467" s="44" t="str">
        <f>IF(Tabla2[[#This Row],[Fecha de Resp]]&gt;Tabla2[[#This Row],[Fecha MAX de Resp]],"Retrasado",IF(Tabla2[[#This Row],[Fecha de Resp]]=0,"Pendiente",IF(Tabla2[[#This Row],[Fecha de Resp]]&lt;=Tabla2[[#This Row],[Fecha MAX de Resp]],"A Tiempo",0)))</f>
        <v>A Tiempo</v>
      </c>
      <c r="M467" s="44"/>
      <c r="N467" s="44"/>
      <c r="O467" s="48" t="b">
        <f>EXACT(Tabla2[[#This Row],[Fecha de Recibido]],Tabla2[[#This Row],[Fecha MAX de Resp]])</f>
        <v>1</v>
      </c>
      <c r="P467" s="48" t="b">
        <f>EXACT(Tabla2[[#This Row],[Fecha de Recibido]],Tabla2[[#This Row],[Fecha de Resp]])</f>
        <v>1</v>
      </c>
      <c r="Q467" s="45">
        <f>DATE(YEAR(Tabla2[[#This Row],[Fecha de Recibido]]),MONTH(Tabla2[[#This Row],[Fecha de Recibido]]),1)</f>
        <v>44621</v>
      </c>
      <c r="R467" s="45" t="s">
        <v>63</v>
      </c>
    </row>
    <row r="468" spans="1:18" s="42" customFormat="1" ht="52.5" customHeight="1">
      <c r="A468" s="63">
        <v>44627</v>
      </c>
      <c r="B468" s="42" t="s">
        <v>17</v>
      </c>
      <c r="C468" s="42" t="s">
        <v>1264</v>
      </c>
      <c r="D468" s="41">
        <v>44630</v>
      </c>
      <c r="E468" s="41">
        <v>44630</v>
      </c>
      <c r="F468" s="42" t="s">
        <v>1265</v>
      </c>
      <c r="G468" s="43"/>
      <c r="H468" s="43" t="s">
        <v>1266</v>
      </c>
      <c r="I468" s="43"/>
      <c r="J468" s="43" t="s">
        <v>3</v>
      </c>
      <c r="K468" s="43" t="s">
        <v>360</v>
      </c>
      <c r="L468" s="44" t="str">
        <f>IF(Tabla2[[#This Row],[Fecha de Resp]]&gt;Tabla2[[#This Row],[Fecha MAX de Resp]],"Retrasado",IF(Tabla2[[#This Row],[Fecha de Resp]]=0,"Pendiente",IF(Tabla2[[#This Row],[Fecha de Resp]]&lt;=Tabla2[[#This Row],[Fecha MAX de Resp]],"A Tiempo",0)))</f>
        <v>A Tiempo</v>
      </c>
      <c r="M468" s="44"/>
      <c r="N468" s="44"/>
      <c r="O468" s="48" t="b">
        <f>EXACT(Tabla2[[#This Row],[Fecha de Recibido]],Tabla2[[#This Row],[Fecha MAX de Resp]])</f>
        <v>0</v>
      </c>
      <c r="P468" s="48" t="b">
        <f>EXACT(Tabla2[[#This Row],[Fecha de Recibido]],Tabla2[[#This Row],[Fecha de Resp]])</f>
        <v>0</v>
      </c>
      <c r="Q468" s="45">
        <f>DATE(YEAR(Tabla2[[#This Row],[Fecha de Recibido]]),MONTH(Tabla2[[#This Row],[Fecha de Recibido]]),1)</f>
        <v>44621</v>
      </c>
      <c r="R468" s="45" t="s">
        <v>63</v>
      </c>
    </row>
    <row r="469" spans="1:18" s="42" customFormat="1" ht="36.75" customHeight="1">
      <c r="A469" s="63">
        <v>44627</v>
      </c>
      <c r="B469" s="42" t="s">
        <v>17</v>
      </c>
      <c r="C469" s="42" t="s">
        <v>1267</v>
      </c>
      <c r="D469" s="41">
        <v>44630</v>
      </c>
      <c r="E469" s="41">
        <v>44630</v>
      </c>
      <c r="F469" s="42" t="s">
        <v>1268</v>
      </c>
      <c r="G469" s="43"/>
      <c r="H469" s="43" t="s">
        <v>1269</v>
      </c>
      <c r="I469" s="43"/>
      <c r="J469" s="43" t="s">
        <v>14</v>
      </c>
      <c r="K469" s="43" t="s">
        <v>12</v>
      </c>
      <c r="L469" s="44" t="str">
        <f>IF(Tabla2[[#This Row],[Fecha de Resp]]&gt;Tabla2[[#This Row],[Fecha MAX de Resp]],"Retrasado",IF(Tabla2[[#This Row],[Fecha de Resp]]=0,"Pendiente",IF(Tabla2[[#This Row],[Fecha de Resp]]&lt;=Tabla2[[#This Row],[Fecha MAX de Resp]],"A Tiempo",0)))</f>
        <v>A Tiempo</v>
      </c>
      <c r="M469" s="44"/>
      <c r="N469" s="44"/>
      <c r="O469" s="48" t="b">
        <f>EXACT(Tabla2[[#This Row],[Fecha de Recibido]],Tabla2[[#This Row],[Fecha MAX de Resp]])</f>
        <v>0</v>
      </c>
      <c r="P469" s="48" t="b">
        <f>EXACT(Tabla2[[#This Row],[Fecha de Recibido]],Tabla2[[#This Row],[Fecha de Resp]])</f>
        <v>0</v>
      </c>
      <c r="Q469" s="45">
        <f>DATE(YEAR(Tabla2[[#This Row],[Fecha de Recibido]]),MONTH(Tabla2[[#This Row],[Fecha de Recibido]]),1)</f>
        <v>44621</v>
      </c>
      <c r="R469" s="45" t="s">
        <v>63</v>
      </c>
    </row>
    <row r="470" spans="1:18" s="42" customFormat="1" ht="36.75" customHeight="1">
      <c r="A470" s="63">
        <v>44627</v>
      </c>
      <c r="B470" s="42" t="s">
        <v>17</v>
      </c>
      <c r="C470" s="42" t="s">
        <v>1270</v>
      </c>
      <c r="D470" s="41">
        <v>44630</v>
      </c>
      <c r="E470" s="41">
        <v>44627</v>
      </c>
      <c r="F470" s="42" t="s">
        <v>1271</v>
      </c>
      <c r="G470" s="43"/>
      <c r="H470" s="43" t="s">
        <v>1272</v>
      </c>
      <c r="I470" s="43"/>
      <c r="J470" s="43" t="s">
        <v>14</v>
      </c>
      <c r="K470" s="43" t="s">
        <v>12</v>
      </c>
      <c r="L470" s="44" t="str">
        <f>IF(Tabla2[[#This Row],[Fecha de Resp]]&gt;Tabla2[[#This Row],[Fecha MAX de Resp]],"Retrasado",IF(Tabla2[[#This Row],[Fecha de Resp]]=0,"Pendiente",IF(Tabla2[[#This Row],[Fecha de Resp]]&lt;=Tabla2[[#This Row],[Fecha MAX de Resp]],"A Tiempo",0)))</f>
        <v>A Tiempo</v>
      </c>
      <c r="M470" s="44"/>
      <c r="N470" s="44"/>
      <c r="O470" s="48" t="b">
        <f>EXACT(Tabla2[[#This Row],[Fecha de Recibido]],Tabla2[[#This Row],[Fecha MAX de Resp]])</f>
        <v>0</v>
      </c>
      <c r="P470" s="48" t="b">
        <f>EXACT(Tabla2[[#This Row],[Fecha de Recibido]],Tabla2[[#This Row],[Fecha de Resp]])</f>
        <v>1</v>
      </c>
      <c r="Q470" s="45">
        <f>DATE(YEAR(Tabla2[[#This Row],[Fecha de Recibido]]),MONTH(Tabla2[[#This Row],[Fecha de Recibido]]),1)</f>
        <v>44621</v>
      </c>
      <c r="R470" s="45" t="s">
        <v>63</v>
      </c>
    </row>
    <row r="471" spans="1:18" s="42" customFormat="1" ht="36.75" customHeight="1">
      <c r="A471" s="63">
        <v>44622</v>
      </c>
      <c r="B471" s="42" t="s">
        <v>32</v>
      </c>
      <c r="C471" s="42" t="s">
        <v>1273</v>
      </c>
      <c r="D471" s="41">
        <v>44622</v>
      </c>
      <c r="E471" s="41">
        <v>44622</v>
      </c>
      <c r="F471" s="42" t="s">
        <v>1274</v>
      </c>
      <c r="G471" s="43"/>
      <c r="H471" s="43" t="s">
        <v>1275</v>
      </c>
      <c r="I471" s="43"/>
      <c r="J471" s="43" t="s">
        <v>3</v>
      </c>
      <c r="K471" s="43" t="s">
        <v>360</v>
      </c>
      <c r="L471" s="44" t="str">
        <f>IF(Tabla2[[#This Row],[Fecha de Resp]]&gt;Tabla2[[#This Row],[Fecha MAX de Resp]],"Retrasado",IF(Tabla2[[#This Row],[Fecha de Resp]]=0,"Pendiente",IF(Tabla2[[#This Row],[Fecha de Resp]]&lt;=Tabla2[[#This Row],[Fecha MAX de Resp]],"A Tiempo",0)))</f>
        <v>A Tiempo</v>
      </c>
      <c r="M471" s="44"/>
      <c r="N471" s="44"/>
      <c r="O471" s="48" t="b">
        <f>EXACT(Tabla2[[#This Row],[Fecha de Recibido]],Tabla2[[#This Row],[Fecha MAX de Resp]])</f>
        <v>1</v>
      </c>
      <c r="P471" s="48" t="b">
        <f>EXACT(Tabla2[[#This Row],[Fecha de Recibido]],Tabla2[[#This Row],[Fecha de Resp]])</f>
        <v>1</v>
      </c>
      <c r="Q471" s="45">
        <f>DATE(YEAR(Tabla2[[#This Row],[Fecha de Recibido]]),MONTH(Tabla2[[#This Row],[Fecha de Recibido]]),1)</f>
        <v>44621</v>
      </c>
      <c r="R471" s="45" t="s">
        <v>63</v>
      </c>
    </row>
    <row r="472" spans="1:18" s="42" customFormat="1" ht="36.75" customHeight="1">
      <c r="A472" s="63">
        <v>44615</v>
      </c>
      <c r="B472" s="42" t="s">
        <v>32</v>
      </c>
      <c r="C472" s="42" t="s">
        <v>1276</v>
      </c>
      <c r="D472" s="41">
        <v>44615</v>
      </c>
      <c r="E472" s="41">
        <v>44615</v>
      </c>
      <c r="F472" s="42" t="s">
        <v>1277</v>
      </c>
      <c r="G472" s="43"/>
      <c r="H472" s="43" t="s">
        <v>1278</v>
      </c>
      <c r="I472" s="43"/>
      <c r="J472" s="43" t="s">
        <v>3</v>
      </c>
      <c r="K472" s="43" t="s">
        <v>4</v>
      </c>
      <c r="L472" s="44" t="str">
        <f>IF(Tabla2[[#This Row],[Fecha de Resp]]&gt;Tabla2[[#This Row],[Fecha MAX de Resp]],"Retrasado",IF(Tabla2[[#This Row],[Fecha de Resp]]=0,"Pendiente",IF(Tabla2[[#This Row],[Fecha de Resp]]&lt;=Tabla2[[#This Row],[Fecha MAX de Resp]],"A Tiempo",0)))</f>
        <v>A Tiempo</v>
      </c>
      <c r="M472" s="44"/>
      <c r="N472" s="44"/>
      <c r="O472" s="48" t="b">
        <f>EXACT(Tabla2[[#This Row],[Fecha de Recibido]],Tabla2[[#This Row],[Fecha MAX de Resp]])</f>
        <v>1</v>
      </c>
      <c r="P472" s="48" t="b">
        <f>EXACT(Tabla2[[#This Row],[Fecha de Recibido]],Tabla2[[#This Row],[Fecha de Resp]])</f>
        <v>1</v>
      </c>
      <c r="Q472" s="45">
        <f>DATE(YEAR(Tabla2[[#This Row],[Fecha de Recibido]]),MONTH(Tabla2[[#This Row],[Fecha de Recibido]]),1)</f>
        <v>44593</v>
      </c>
      <c r="R472" s="45" t="s">
        <v>63</v>
      </c>
    </row>
    <row r="473" spans="1:18" s="42" customFormat="1" ht="36.75" customHeight="1">
      <c r="A473" s="63">
        <v>44614</v>
      </c>
      <c r="B473" s="42" t="s">
        <v>17</v>
      </c>
      <c r="C473" s="42" t="s">
        <v>1279</v>
      </c>
      <c r="D473" s="41">
        <v>44614</v>
      </c>
      <c r="E473" s="41">
        <v>44614</v>
      </c>
      <c r="F473" s="42" t="s">
        <v>1280</v>
      </c>
      <c r="G473" s="43"/>
      <c r="H473" s="43" t="s">
        <v>1281</v>
      </c>
      <c r="I473" s="43"/>
      <c r="J473" s="43" t="s">
        <v>14</v>
      </c>
      <c r="K473" s="43" t="s">
        <v>4</v>
      </c>
      <c r="L473" s="44" t="str">
        <f>IF(Tabla2[[#This Row],[Fecha de Resp]]&gt;Tabla2[[#This Row],[Fecha MAX de Resp]],"Retrasado",IF(Tabla2[[#This Row],[Fecha de Resp]]=0,"Pendiente",IF(Tabla2[[#This Row],[Fecha de Resp]]&lt;=Tabla2[[#This Row],[Fecha MAX de Resp]],"A Tiempo",0)))</f>
        <v>A Tiempo</v>
      </c>
      <c r="M473" s="44"/>
      <c r="N473" s="44"/>
      <c r="O473" s="48" t="b">
        <f>EXACT(Tabla2[[#This Row],[Fecha de Recibido]],Tabla2[[#This Row],[Fecha MAX de Resp]])</f>
        <v>1</v>
      </c>
      <c r="P473" s="48" t="b">
        <f>EXACT(Tabla2[[#This Row],[Fecha de Recibido]],Tabla2[[#This Row],[Fecha de Resp]])</f>
        <v>1</v>
      </c>
      <c r="Q473" s="45">
        <f>DATE(YEAR(Tabla2[[#This Row],[Fecha de Recibido]]),MONTH(Tabla2[[#This Row],[Fecha de Recibido]]),1)</f>
        <v>44593</v>
      </c>
      <c r="R473" s="45" t="s">
        <v>63</v>
      </c>
    </row>
    <row r="474" spans="1:18" s="42" customFormat="1" ht="36.75" customHeight="1">
      <c r="A474" s="63">
        <v>44613</v>
      </c>
      <c r="B474" s="42" t="s">
        <v>17</v>
      </c>
      <c r="C474" s="42" t="s">
        <v>1282</v>
      </c>
      <c r="D474" s="41">
        <v>44613</v>
      </c>
      <c r="E474" s="41">
        <v>44613</v>
      </c>
      <c r="F474" s="42" t="s">
        <v>1283</v>
      </c>
      <c r="G474" s="43"/>
      <c r="H474" s="43" t="s">
        <v>1284</v>
      </c>
      <c r="I474" s="43"/>
      <c r="J474" s="43" t="s">
        <v>3</v>
      </c>
      <c r="K474" s="43" t="s">
        <v>12</v>
      </c>
      <c r="L474" s="44" t="str">
        <f>IF(Tabla2[[#This Row],[Fecha de Resp]]&gt;Tabla2[[#This Row],[Fecha MAX de Resp]],"Retrasado",IF(Tabla2[[#This Row],[Fecha de Resp]]=0,"Pendiente",IF(Tabla2[[#This Row],[Fecha de Resp]]&lt;=Tabla2[[#This Row],[Fecha MAX de Resp]],"A Tiempo",0)))</f>
        <v>A Tiempo</v>
      </c>
      <c r="M474" s="44"/>
      <c r="N474" s="44"/>
      <c r="O474" s="48" t="b">
        <f>EXACT(Tabla2[[#This Row],[Fecha de Recibido]],Tabla2[[#This Row],[Fecha MAX de Resp]])</f>
        <v>1</v>
      </c>
      <c r="P474" s="48" t="b">
        <f>EXACT(Tabla2[[#This Row],[Fecha de Recibido]],Tabla2[[#This Row],[Fecha de Resp]])</f>
        <v>1</v>
      </c>
      <c r="Q474" s="45">
        <f>DATE(YEAR(Tabla2[[#This Row],[Fecha de Recibido]]),MONTH(Tabla2[[#This Row],[Fecha de Recibido]]),1)</f>
        <v>44593</v>
      </c>
      <c r="R474" s="45" t="s">
        <v>63</v>
      </c>
    </row>
    <row r="475" spans="1:18" s="42" customFormat="1" ht="36.75" customHeight="1">
      <c r="A475" s="63">
        <v>44613</v>
      </c>
      <c r="B475" s="42" t="s">
        <v>17</v>
      </c>
      <c r="C475" s="42" t="s">
        <v>1282</v>
      </c>
      <c r="D475" s="41">
        <v>44613</v>
      </c>
      <c r="E475" s="41">
        <v>44613</v>
      </c>
      <c r="F475" s="42" t="s">
        <v>1283</v>
      </c>
      <c r="G475" s="43"/>
      <c r="H475" s="43" t="s">
        <v>1284</v>
      </c>
      <c r="I475" s="43"/>
      <c r="J475" s="43" t="s">
        <v>11</v>
      </c>
      <c r="K475" s="43" t="s">
        <v>12</v>
      </c>
      <c r="L475" s="44" t="str">
        <f>IF(Tabla2[[#This Row],[Fecha de Resp]]&gt;Tabla2[[#This Row],[Fecha MAX de Resp]],"Retrasado",IF(Tabla2[[#This Row],[Fecha de Resp]]=0,"Pendiente",IF(Tabla2[[#This Row],[Fecha de Resp]]&lt;=Tabla2[[#This Row],[Fecha MAX de Resp]],"A Tiempo",0)))</f>
        <v>A Tiempo</v>
      </c>
      <c r="M475" s="44"/>
      <c r="N475" s="44"/>
      <c r="O475" s="48" t="b">
        <f>EXACT(Tabla2[[#This Row],[Fecha de Recibido]],Tabla2[[#This Row],[Fecha MAX de Resp]])</f>
        <v>1</v>
      </c>
      <c r="P475" s="48" t="b">
        <f>EXACT(Tabla2[[#This Row],[Fecha de Recibido]],Tabla2[[#This Row],[Fecha de Resp]])</f>
        <v>1</v>
      </c>
      <c r="Q475" s="45">
        <f>DATE(YEAR(Tabla2[[#This Row],[Fecha de Recibido]]),MONTH(Tabla2[[#This Row],[Fecha de Recibido]]),1)</f>
        <v>44593</v>
      </c>
      <c r="R475" s="45" t="s">
        <v>63</v>
      </c>
    </row>
    <row r="476" spans="1:18" s="42" customFormat="1" ht="36.75" customHeight="1">
      <c r="A476" s="63">
        <v>44613</v>
      </c>
      <c r="B476" s="42" t="s">
        <v>17</v>
      </c>
      <c r="C476" s="42" t="s">
        <v>1282</v>
      </c>
      <c r="D476" s="41">
        <v>44613</v>
      </c>
      <c r="E476" s="41">
        <v>44613</v>
      </c>
      <c r="F476" s="42" t="s">
        <v>1283</v>
      </c>
      <c r="G476" s="43"/>
      <c r="H476" s="43" t="s">
        <v>1284</v>
      </c>
      <c r="I476" s="43"/>
      <c r="J476" s="43" t="s">
        <v>14</v>
      </c>
      <c r="K476" s="43" t="s">
        <v>12</v>
      </c>
      <c r="L476" s="44" t="str">
        <f>IF(Tabla2[[#This Row],[Fecha de Resp]]&gt;Tabla2[[#This Row],[Fecha MAX de Resp]],"Retrasado",IF(Tabla2[[#This Row],[Fecha de Resp]]=0,"Pendiente",IF(Tabla2[[#This Row],[Fecha de Resp]]&lt;=Tabla2[[#This Row],[Fecha MAX de Resp]],"A Tiempo",0)))</f>
        <v>A Tiempo</v>
      </c>
      <c r="M476" s="44"/>
      <c r="N476" s="44"/>
      <c r="O476" s="48" t="b">
        <f>EXACT(Tabla2[[#This Row],[Fecha de Recibido]],Tabla2[[#This Row],[Fecha MAX de Resp]])</f>
        <v>1</v>
      </c>
      <c r="P476" s="48" t="b">
        <f>EXACT(Tabla2[[#This Row],[Fecha de Recibido]],Tabla2[[#This Row],[Fecha de Resp]])</f>
        <v>1</v>
      </c>
      <c r="Q476" s="45">
        <f>DATE(YEAR(Tabla2[[#This Row],[Fecha de Recibido]]),MONTH(Tabla2[[#This Row],[Fecha de Recibido]]),1)</f>
        <v>44593</v>
      </c>
      <c r="R476" s="45" t="s">
        <v>63</v>
      </c>
    </row>
    <row r="477" spans="1:18" s="42" customFormat="1" ht="36.75" customHeight="1">
      <c r="A477" s="63">
        <v>44613</v>
      </c>
      <c r="B477" s="42" t="s">
        <v>17</v>
      </c>
      <c r="C477" s="42" t="s">
        <v>1282</v>
      </c>
      <c r="D477" s="41">
        <v>44613</v>
      </c>
      <c r="E477" s="41">
        <v>44613</v>
      </c>
      <c r="F477" s="42" t="s">
        <v>1283</v>
      </c>
      <c r="G477" s="43"/>
      <c r="H477" s="43" t="s">
        <v>1285</v>
      </c>
      <c r="I477" s="43"/>
      <c r="J477" s="43" t="s">
        <v>11</v>
      </c>
      <c r="K477" s="43" t="s">
        <v>12</v>
      </c>
      <c r="L477" s="44" t="str">
        <f>IF(Tabla2[[#This Row],[Fecha de Resp]]&gt;Tabla2[[#This Row],[Fecha MAX de Resp]],"Retrasado",IF(Tabla2[[#This Row],[Fecha de Resp]]=0,"Pendiente",IF(Tabla2[[#This Row],[Fecha de Resp]]&lt;=Tabla2[[#This Row],[Fecha MAX de Resp]],"A Tiempo",0)))</f>
        <v>A Tiempo</v>
      </c>
      <c r="M477" s="44"/>
      <c r="N477" s="44"/>
      <c r="O477" s="48" t="b">
        <f>EXACT(Tabla2[[#This Row],[Fecha de Recibido]],Tabla2[[#This Row],[Fecha MAX de Resp]])</f>
        <v>1</v>
      </c>
      <c r="P477" s="48" t="b">
        <f>EXACT(Tabla2[[#This Row],[Fecha de Recibido]],Tabla2[[#This Row],[Fecha de Resp]])</f>
        <v>1</v>
      </c>
      <c r="Q477" s="45">
        <f>DATE(YEAR(Tabla2[[#This Row],[Fecha de Recibido]]),MONTH(Tabla2[[#This Row],[Fecha de Recibido]]),1)</f>
        <v>44593</v>
      </c>
      <c r="R477" s="45" t="s">
        <v>63</v>
      </c>
    </row>
    <row r="478" spans="1:18" s="42" customFormat="1" ht="36.75" customHeight="1">
      <c r="A478" s="63">
        <v>44613</v>
      </c>
      <c r="B478" s="42" t="s">
        <v>32</v>
      </c>
      <c r="C478" s="42" t="s">
        <v>1286</v>
      </c>
      <c r="D478" s="41">
        <v>44614</v>
      </c>
      <c r="E478" s="41">
        <v>44614</v>
      </c>
      <c r="F478" s="42" t="s">
        <v>1287</v>
      </c>
      <c r="G478" s="43"/>
      <c r="H478" s="43" t="s">
        <v>1288</v>
      </c>
      <c r="I478" s="43"/>
      <c r="J478" s="43" t="s">
        <v>3</v>
      </c>
      <c r="K478" s="43" t="s">
        <v>12</v>
      </c>
      <c r="L478" s="44" t="str">
        <f>IF(Tabla2[[#This Row],[Fecha de Resp]]&gt;Tabla2[[#This Row],[Fecha MAX de Resp]],"Retrasado",IF(Tabla2[[#This Row],[Fecha de Resp]]=0,"Pendiente",IF(Tabla2[[#This Row],[Fecha de Resp]]&lt;=Tabla2[[#This Row],[Fecha MAX de Resp]],"A Tiempo",0)))</f>
        <v>A Tiempo</v>
      </c>
      <c r="M478" s="44"/>
      <c r="N478" s="44"/>
      <c r="O478" s="48" t="b">
        <f>EXACT(Tabla2[[#This Row],[Fecha de Recibido]],Tabla2[[#This Row],[Fecha MAX de Resp]])</f>
        <v>0</v>
      </c>
      <c r="P478" s="48" t="b">
        <f>EXACT(Tabla2[[#This Row],[Fecha de Recibido]],Tabla2[[#This Row],[Fecha de Resp]])</f>
        <v>0</v>
      </c>
      <c r="Q478" s="45">
        <f>DATE(YEAR(Tabla2[[#This Row],[Fecha de Recibido]]),MONTH(Tabla2[[#This Row],[Fecha de Recibido]]),1)</f>
        <v>44593</v>
      </c>
      <c r="R478" s="45" t="s">
        <v>63</v>
      </c>
    </row>
    <row r="479" spans="1:18" s="42" customFormat="1" ht="36.75" customHeight="1">
      <c r="A479" s="63">
        <v>44613</v>
      </c>
      <c r="B479" s="42" t="s">
        <v>32</v>
      </c>
      <c r="C479" s="42" t="s">
        <v>1289</v>
      </c>
      <c r="D479" s="41">
        <v>44614</v>
      </c>
      <c r="E479" s="41">
        <v>44614</v>
      </c>
      <c r="F479" s="42" t="s">
        <v>1287</v>
      </c>
      <c r="G479" s="43"/>
      <c r="H479" s="43" t="s">
        <v>1290</v>
      </c>
      <c r="I479" s="43"/>
      <c r="J479" s="43" t="s">
        <v>8</v>
      </c>
      <c r="K479" s="43" t="s">
        <v>12</v>
      </c>
      <c r="L479" s="44" t="str">
        <f>IF(Tabla2[[#This Row],[Fecha de Resp]]&gt;Tabla2[[#This Row],[Fecha MAX de Resp]],"Retrasado",IF(Tabla2[[#This Row],[Fecha de Resp]]=0,"Pendiente",IF(Tabla2[[#This Row],[Fecha de Resp]]&lt;=Tabla2[[#This Row],[Fecha MAX de Resp]],"A Tiempo",0)))</f>
        <v>A Tiempo</v>
      </c>
      <c r="M479" s="44"/>
      <c r="N479" s="44"/>
      <c r="O479" s="48" t="b">
        <f>EXACT(Tabla2[[#This Row],[Fecha de Recibido]],Tabla2[[#This Row],[Fecha MAX de Resp]])</f>
        <v>0</v>
      </c>
      <c r="P479" s="48" t="b">
        <f>EXACT(Tabla2[[#This Row],[Fecha de Recibido]],Tabla2[[#This Row],[Fecha de Resp]])</f>
        <v>0</v>
      </c>
      <c r="Q479" s="45">
        <f>DATE(YEAR(Tabla2[[#This Row],[Fecha de Recibido]]),MONTH(Tabla2[[#This Row],[Fecha de Recibido]]),1)</f>
        <v>44593</v>
      </c>
      <c r="R479" s="45" t="s">
        <v>63</v>
      </c>
    </row>
    <row r="480" spans="1:18" s="42" customFormat="1" ht="36.75" customHeight="1">
      <c r="A480" s="63">
        <v>44613</v>
      </c>
      <c r="B480" s="42" t="s">
        <v>32</v>
      </c>
      <c r="C480" s="42" t="s">
        <v>1291</v>
      </c>
      <c r="D480" s="41">
        <v>44614</v>
      </c>
      <c r="E480" s="41">
        <v>44614</v>
      </c>
      <c r="F480" s="42" t="s">
        <v>1287</v>
      </c>
      <c r="G480" s="43"/>
      <c r="H480" s="43" t="s">
        <v>1292</v>
      </c>
      <c r="I480" s="43"/>
      <c r="J480" s="43" t="s">
        <v>11</v>
      </c>
      <c r="K480" s="43" t="s">
        <v>12</v>
      </c>
      <c r="L480" s="44" t="str">
        <f>IF(Tabla2[[#This Row],[Fecha de Resp]]&gt;Tabla2[[#This Row],[Fecha MAX de Resp]],"Retrasado",IF(Tabla2[[#This Row],[Fecha de Resp]]=0,"Pendiente",IF(Tabla2[[#This Row],[Fecha de Resp]]&lt;=Tabla2[[#This Row],[Fecha MAX de Resp]],"A Tiempo",0)))</f>
        <v>A Tiempo</v>
      </c>
      <c r="M480" s="44"/>
      <c r="N480" s="44"/>
      <c r="O480" s="48" t="b">
        <f>EXACT(Tabla2[[#This Row],[Fecha de Recibido]],Tabla2[[#This Row],[Fecha MAX de Resp]])</f>
        <v>0</v>
      </c>
      <c r="P480" s="48" t="b">
        <f>EXACT(Tabla2[[#This Row],[Fecha de Recibido]],Tabla2[[#This Row],[Fecha de Resp]])</f>
        <v>0</v>
      </c>
      <c r="Q480" s="45">
        <f>DATE(YEAR(Tabla2[[#This Row],[Fecha de Recibido]]),MONTH(Tabla2[[#This Row],[Fecha de Recibido]]),1)</f>
        <v>44593</v>
      </c>
      <c r="R480" s="45" t="s">
        <v>63</v>
      </c>
    </row>
    <row r="481" spans="1:18" s="42" customFormat="1" ht="36.75" customHeight="1">
      <c r="A481" s="63">
        <v>44613</v>
      </c>
      <c r="B481" s="42" t="s">
        <v>32</v>
      </c>
      <c r="C481" s="42" t="s">
        <v>1293</v>
      </c>
      <c r="D481" s="41">
        <v>44614</v>
      </c>
      <c r="E481" s="41">
        <v>44614</v>
      </c>
      <c r="F481" s="42" t="s">
        <v>1287</v>
      </c>
      <c r="G481" s="43"/>
      <c r="H481" s="43" t="s">
        <v>1294</v>
      </c>
      <c r="I481" s="43"/>
      <c r="J481" s="43" t="s">
        <v>8</v>
      </c>
      <c r="K481" s="43" t="s">
        <v>12</v>
      </c>
      <c r="L481" s="44" t="str">
        <f>IF(Tabla2[[#This Row],[Fecha de Resp]]&gt;Tabla2[[#This Row],[Fecha MAX de Resp]],"Retrasado",IF(Tabla2[[#This Row],[Fecha de Resp]]=0,"Pendiente",IF(Tabla2[[#This Row],[Fecha de Resp]]&lt;=Tabla2[[#This Row],[Fecha MAX de Resp]],"A Tiempo",0)))</f>
        <v>A Tiempo</v>
      </c>
      <c r="M481" s="44"/>
      <c r="N481" s="44"/>
      <c r="O481" s="48" t="b">
        <f>EXACT(Tabla2[[#This Row],[Fecha de Recibido]],Tabla2[[#This Row],[Fecha MAX de Resp]])</f>
        <v>0</v>
      </c>
      <c r="P481" s="48" t="b">
        <f>EXACT(Tabla2[[#This Row],[Fecha de Recibido]],Tabla2[[#This Row],[Fecha de Resp]])</f>
        <v>0</v>
      </c>
      <c r="Q481" s="45">
        <f>DATE(YEAR(Tabla2[[#This Row],[Fecha de Recibido]]),MONTH(Tabla2[[#This Row],[Fecha de Recibido]]),1)</f>
        <v>44593</v>
      </c>
      <c r="R481" s="45" t="s">
        <v>63</v>
      </c>
    </row>
    <row r="482" spans="1:18" s="42" customFormat="1" ht="36.75" customHeight="1">
      <c r="A482" s="63">
        <v>44610</v>
      </c>
      <c r="B482" s="42" t="s">
        <v>32</v>
      </c>
      <c r="C482" s="42" t="s">
        <v>1295</v>
      </c>
      <c r="D482" s="41">
        <v>44610</v>
      </c>
      <c r="E482" s="41">
        <v>44610</v>
      </c>
      <c r="F482" s="42" t="s">
        <v>1296</v>
      </c>
      <c r="G482" s="43"/>
      <c r="H482" s="43" t="s">
        <v>1297</v>
      </c>
      <c r="I482" s="43"/>
      <c r="J482" s="43" t="s">
        <v>3</v>
      </c>
      <c r="K482" s="43" t="s">
        <v>4</v>
      </c>
      <c r="L482" s="44" t="str">
        <f>IF(Tabla2[[#This Row],[Fecha de Resp]]&gt;Tabla2[[#This Row],[Fecha MAX de Resp]],"Retrasado",IF(Tabla2[[#This Row],[Fecha de Resp]]=0,"Pendiente",IF(Tabla2[[#This Row],[Fecha de Resp]]&lt;=Tabla2[[#This Row],[Fecha MAX de Resp]],"A Tiempo",0)))</f>
        <v>A Tiempo</v>
      </c>
      <c r="M482" s="44"/>
      <c r="N482" s="44"/>
      <c r="O482" s="48" t="b">
        <f>EXACT(Tabla2[[#This Row],[Fecha de Recibido]],Tabla2[[#This Row],[Fecha MAX de Resp]])</f>
        <v>1</v>
      </c>
      <c r="P482" s="48" t="b">
        <f>EXACT(Tabla2[[#This Row],[Fecha de Recibido]],Tabla2[[#This Row],[Fecha de Resp]])</f>
        <v>1</v>
      </c>
      <c r="Q482" s="45">
        <f>DATE(YEAR(Tabla2[[#This Row],[Fecha de Recibido]]),MONTH(Tabla2[[#This Row],[Fecha de Recibido]]),1)</f>
        <v>44593</v>
      </c>
      <c r="R482" s="45" t="s">
        <v>63</v>
      </c>
    </row>
    <row r="483" spans="1:18" s="42" customFormat="1" ht="36.75" customHeight="1">
      <c r="A483" s="63">
        <v>44604</v>
      </c>
      <c r="B483" s="42" t="s">
        <v>30</v>
      </c>
      <c r="C483" s="42" t="s">
        <v>1298</v>
      </c>
      <c r="D483" s="41">
        <v>44604</v>
      </c>
      <c r="E483" s="41">
        <v>44604</v>
      </c>
      <c r="F483" s="42" t="s">
        <v>1299</v>
      </c>
      <c r="G483" s="43"/>
      <c r="H483" s="43" t="s">
        <v>1300</v>
      </c>
      <c r="I483" s="43"/>
      <c r="J483" s="43" t="s">
        <v>3</v>
      </c>
      <c r="K483" s="43" t="s">
        <v>360</v>
      </c>
      <c r="L483" s="44" t="str">
        <f>IF(Tabla2[[#This Row],[Fecha de Resp]]&gt;Tabla2[[#This Row],[Fecha MAX de Resp]],"Retrasado",IF(Tabla2[[#This Row],[Fecha de Resp]]=0,"Pendiente",IF(Tabla2[[#This Row],[Fecha de Resp]]&lt;=Tabla2[[#This Row],[Fecha MAX de Resp]],"A Tiempo",0)))</f>
        <v>A Tiempo</v>
      </c>
      <c r="M483" s="44"/>
      <c r="N483" s="44"/>
      <c r="O483" s="48" t="b">
        <f>EXACT(Tabla2[[#This Row],[Fecha de Recibido]],Tabla2[[#This Row],[Fecha MAX de Resp]])</f>
        <v>1</v>
      </c>
      <c r="P483" s="48" t="b">
        <f>EXACT(Tabla2[[#This Row],[Fecha de Recibido]],Tabla2[[#This Row],[Fecha de Resp]])</f>
        <v>1</v>
      </c>
      <c r="Q483" s="45">
        <f>DATE(YEAR(Tabla2[[#This Row],[Fecha de Recibido]]),MONTH(Tabla2[[#This Row],[Fecha de Recibido]]),1)</f>
        <v>44593</v>
      </c>
      <c r="R483" s="45" t="s">
        <v>63</v>
      </c>
    </row>
    <row r="484" spans="1:18" s="42" customFormat="1" ht="36.75" customHeight="1">
      <c r="A484" s="63">
        <v>44603</v>
      </c>
      <c r="B484" s="42" t="s">
        <v>32</v>
      </c>
      <c r="C484" s="42" t="s">
        <v>1301</v>
      </c>
      <c r="D484" s="41">
        <v>44603</v>
      </c>
      <c r="E484" s="41">
        <v>44603</v>
      </c>
      <c r="F484" s="42" t="s">
        <v>1302</v>
      </c>
      <c r="G484" s="43"/>
      <c r="H484" s="43" t="s">
        <v>1303</v>
      </c>
      <c r="I484" s="43"/>
      <c r="J484" s="43" t="s">
        <v>8</v>
      </c>
      <c r="K484" s="43" t="s">
        <v>25</v>
      </c>
      <c r="L484" s="44" t="str">
        <f>IF(Tabla2[[#This Row],[Fecha de Resp]]&gt;Tabla2[[#This Row],[Fecha MAX de Resp]],"Retrasado",IF(Tabla2[[#This Row],[Fecha de Resp]]=0,"Pendiente",IF(Tabla2[[#This Row],[Fecha de Resp]]&lt;=Tabla2[[#This Row],[Fecha MAX de Resp]],"A Tiempo",0)))</f>
        <v>A Tiempo</v>
      </c>
      <c r="M484" s="44"/>
      <c r="N484" s="44"/>
      <c r="O484" s="48" t="b">
        <f>EXACT(Tabla2[[#This Row],[Fecha de Recibido]],Tabla2[[#This Row],[Fecha MAX de Resp]])</f>
        <v>1</v>
      </c>
      <c r="P484" s="48" t="b">
        <f>EXACT(Tabla2[[#This Row],[Fecha de Recibido]],Tabla2[[#This Row],[Fecha de Resp]])</f>
        <v>1</v>
      </c>
      <c r="Q484" s="45">
        <f>DATE(YEAR(Tabla2[[#This Row],[Fecha de Recibido]]),MONTH(Tabla2[[#This Row],[Fecha de Recibido]]),1)</f>
        <v>44593</v>
      </c>
      <c r="R484" s="45" t="s">
        <v>63</v>
      </c>
    </row>
    <row r="485" spans="1:18" s="42" customFormat="1" ht="36.75" customHeight="1">
      <c r="A485" s="63">
        <v>44603</v>
      </c>
      <c r="B485" s="42" t="s">
        <v>32</v>
      </c>
      <c r="C485" s="42" t="s">
        <v>1301</v>
      </c>
      <c r="D485" s="41">
        <v>44603</v>
      </c>
      <c r="E485" s="41">
        <v>44603</v>
      </c>
      <c r="F485" s="42" t="s">
        <v>1302</v>
      </c>
      <c r="G485" s="43"/>
      <c r="H485" s="43" t="s">
        <v>1304</v>
      </c>
      <c r="I485" s="43"/>
      <c r="J485" s="43" t="s">
        <v>8</v>
      </c>
      <c r="K485" s="43" t="s">
        <v>25</v>
      </c>
      <c r="L485" s="44" t="str">
        <f>IF(Tabla2[[#This Row],[Fecha de Resp]]&gt;Tabla2[[#This Row],[Fecha MAX de Resp]],"Retrasado",IF(Tabla2[[#This Row],[Fecha de Resp]]=0,"Pendiente",IF(Tabla2[[#This Row],[Fecha de Resp]]&lt;=Tabla2[[#This Row],[Fecha MAX de Resp]],"A Tiempo",0)))</f>
        <v>A Tiempo</v>
      </c>
      <c r="M485" s="44"/>
      <c r="N485" s="44"/>
      <c r="O485" s="48" t="b">
        <f>EXACT(Tabla2[[#This Row],[Fecha de Recibido]],Tabla2[[#This Row],[Fecha MAX de Resp]])</f>
        <v>1</v>
      </c>
      <c r="P485" s="48" t="b">
        <f>EXACT(Tabla2[[#This Row],[Fecha de Recibido]],Tabla2[[#This Row],[Fecha de Resp]])</f>
        <v>1</v>
      </c>
      <c r="Q485" s="45">
        <f>DATE(YEAR(Tabla2[[#This Row],[Fecha de Recibido]]),MONTH(Tabla2[[#This Row],[Fecha de Recibido]]),1)</f>
        <v>44593</v>
      </c>
      <c r="R485" s="45" t="s">
        <v>63</v>
      </c>
    </row>
    <row r="486" spans="1:18" s="42" customFormat="1" ht="36.75" customHeight="1">
      <c r="A486" s="63">
        <v>44603</v>
      </c>
      <c r="B486" s="42" t="s">
        <v>32</v>
      </c>
      <c r="C486" s="42" t="s">
        <v>1305</v>
      </c>
      <c r="D486" s="41">
        <v>44603</v>
      </c>
      <c r="E486" s="41">
        <v>44603</v>
      </c>
      <c r="F486" s="42" t="s">
        <v>1302</v>
      </c>
      <c r="G486" s="43"/>
      <c r="H486" s="43" t="s">
        <v>1306</v>
      </c>
      <c r="I486" s="43"/>
      <c r="J486" s="43" t="s">
        <v>11</v>
      </c>
      <c r="K486" s="43" t="s">
        <v>25</v>
      </c>
      <c r="L486" s="44" t="str">
        <f>IF(Tabla2[[#This Row],[Fecha de Resp]]&gt;Tabla2[[#This Row],[Fecha MAX de Resp]],"Retrasado",IF(Tabla2[[#This Row],[Fecha de Resp]]=0,"Pendiente",IF(Tabla2[[#This Row],[Fecha de Resp]]&lt;=Tabla2[[#This Row],[Fecha MAX de Resp]],"A Tiempo",0)))</f>
        <v>A Tiempo</v>
      </c>
      <c r="M486" s="44"/>
      <c r="N486" s="44"/>
      <c r="O486" s="48" t="b">
        <f>EXACT(Tabla2[[#This Row],[Fecha de Recibido]],Tabla2[[#This Row],[Fecha MAX de Resp]])</f>
        <v>1</v>
      </c>
      <c r="P486" s="48" t="b">
        <f>EXACT(Tabla2[[#This Row],[Fecha de Recibido]],Tabla2[[#This Row],[Fecha de Resp]])</f>
        <v>1</v>
      </c>
      <c r="Q486" s="45">
        <f>DATE(YEAR(Tabla2[[#This Row],[Fecha de Recibido]]),MONTH(Tabla2[[#This Row],[Fecha de Recibido]]),1)</f>
        <v>44593</v>
      </c>
      <c r="R486" s="45" t="s">
        <v>63</v>
      </c>
    </row>
    <row r="487" spans="1:18" s="42" customFormat="1" ht="36.75" customHeight="1">
      <c r="A487" s="63">
        <v>44603</v>
      </c>
      <c r="B487" s="42" t="s">
        <v>32</v>
      </c>
      <c r="C487" s="42" t="s">
        <v>1305</v>
      </c>
      <c r="D487" s="41">
        <v>44603</v>
      </c>
      <c r="E487" s="41">
        <v>44603</v>
      </c>
      <c r="F487" s="42" t="s">
        <v>1302</v>
      </c>
      <c r="G487" s="43"/>
      <c r="H487" s="43" t="s">
        <v>1307</v>
      </c>
      <c r="I487" s="43"/>
      <c r="J487" s="43" t="s">
        <v>14</v>
      </c>
      <c r="K487" s="43" t="s">
        <v>25</v>
      </c>
      <c r="L487" s="44" t="str">
        <f>IF(Tabla2[[#This Row],[Fecha de Resp]]&gt;Tabla2[[#This Row],[Fecha MAX de Resp]],"Retrasado",IF(Tabla2[[#This Row],[Fecha de Resp]]=0,"Pendiente",IF(Tabla2[[#This Row],[Fecha de Resp]]&lt;=Tabla2[[#This Row],[Fecha MAX de Resp]],"A Tiempo",0)))</f>
        <v>A Tiempo</v>
      </c>
      <c r="M487" s="44"/>
      <c r="N487" s="44"/>
      <c r="O487" s="48" t="b">
        <f>EXACT(Tabla2[[#This Row],[Fecha de Recibido]],Tabla2[[#This Row],[Fecha MAX de Resp]])</f>
        <v>1</v>
      </c>
      <c r="P487" s="48" t="b">
        <f>EXACT(Tabla2[[#This Row],[Fecha de Recibido]],Tabla2[[#This Row],[Fecha de Resp]])</f>
        <v>1</v>
      </c>
      <c r="Q487" s="45">
        <f>DATE(YEAR(Tabla2[[#This Row],[Fecha de Recibido]]),MONTH(Tabla2[[#This Row],[Fecha de Recibido]]),1)</f>
        <v>44593</v>
      </c>
      <c r="R487" s="45" t="s">
        <v>63</v>
      </c>
    </row>
    <row r="488" spans="1:18" s="42" customFormat="1" ht="36.75" customHeight="1">
      <c r="A488" s="63">
        <v>44603</v>
      </c>
      <c r="B488" s="42" t="s">
        <v>32</v>
      </c>
      <c r="C488" s="42" t="s">
        <v>1308</v>
      </c>
      <c r="D488" s="41">
        <v>44603</v>
      </c>
      <c r="E488" s="41">
        <v>44603</v>
      </c>
      <c r="F488" s="42" t="s">
        <v>1302</v>
      </c>
      <c r="G488" s="43"/>
      <c r="H488" s="43" t="s">
        <v>1309</v>
      </c>
      <c r="I488" s="43"/>
      <c r="J488" s="43" t="s">
        <v>3</v>
      </c>
      <c r="K488" s="43" t="s">
        <v>360</v>
      </c>
      <c r="L488" s="44" t="str">
        <f>IF(Tabla2[[#This Row],[Fecha de Resp]]&gt;Tabla2[[#This Row],[Fecha MAX de Resp]],"Retrasado",IF(Tabla2[[#This Row],[Fecha de Resp]]=0,"Pendiente",IF(Tabla2[[#This Row],[Fecha de Resp]]&lt;=Tabla2[[#This Row],[Fecha MAX de Resp]],"A Tiempo",0)))</f>
        <v>A Tiempo</v>
      </c>
      <c r="M488" s="44"/>
      <c r="N488" s="44"/>
      <c r="O488" s="48" t="b">
        <f>EXACT(Tabla2[[#This Row],[Fecha de Recibido]],Tabla2[[#This Row],[Fecha MAX de Resp]])</f>
        <v>1</v>
      </c>
      <c r="P488" s="48" t="b">
        <f>EXACT(Tabla2[[#This Row],[Fecha de Recibido]],Tabla2[[#This Row],[Fecha de Resp]])</f>
        <v>1</v>
      </c>
      <c r="Q488" s="45">
        <f>DATE(YEAR(Tabla2[[#This Row],[Fecha de Recibido]]),MONTH(Tabla2[[#This Row],[Fecha de Recibido]]),1)</f>
        <v>44593</v>
      </c>
      <c r="R488" s="45" t="s">
        <v>63</v>
      </c>
    </row>
    <row r="489" spans="1:18" s="42" customFormat="1" ht="36.75" customHeight="1">
      <c r="A489" s="63">
        <v>44600</v>
      </c>
      <c r="B489" s="42" t="s">
        <v>32</v>
      </c>
      <c r="C489" s="42" t="s">
        <v>1310</v>
      </c>
      <c r="D489" s="41">
        <v>44600</v>
      </c>
      <c r="E489" s="41">
        <v>44600</v>
      </c>
      <c r="F489" s="42" t="s">
        <v>1311</v>
      </c>
      <c r="G489" s="43"/>
      <c r="H489" s="43" t="s">
        <v>1312</v>
      </c>
      <c r="I489" s="43"/>
      <c r="J489" s="43" t="s">
        <v>3</v>
      </c>
      <c r="K489" s="43" t="s">
        <v>360</v>
      </c>
      <c r="L489" s="44" t="str">
        <f>IF(Tabla2[[#This Row],[Fecha de Resp]]&gt;Tabla2[[#This Row],[Fecha MAX de Resp]],"Retrasado",IF(Tabla2[[#This Row],[Fecha de Resp]]=0,"Pendiente",IF(Tabla2[[#This Row],[Fecha de Resp]]&lt;=Tabla2[[#This Row],[Fecha MAX de Resp]],"A Tiempo",0)))</f>
        <v>A Tiempo</v>
      </c>
      <c r="M489" s="44"/>
      <c r="N489" s="44"/>
      <c r="O489" s="48" t="b">
        <f>EXACT(Tabla2[[#This Row],[Fecha de Recibido]],Tabla2[[#This Row],[Fecha MAX de Resp]])</f>
        <v>1</v>
      </c>
      <c r="P489" s="48" t="b">
        <f>EXACT(Tabla2[[#This Row],[Fecha de Recibido]],Tabla2[[#This Row],[Fecha de Resp]])</f>
        <v>1</v>
      </c>
      <c r="Q489" s="45">
        <f>DATE(YEAR(Tabla2[[#This Row],[Fecha de Recibido]]),MONTH(Tabla2[[#This Row],[Fecha de Recibido]]),1)</f>
        <v>44593</v>
      </c>
      <c r="R489" s="45" t="s">
        <v>63</v>
      </c>
    </row>
    <row r="490" spans="1:18" s="42" customFormat="1" ht="36.75" customHeight="1">
      <c r="A490" s="63">
        <v>44596</v>
      </c>
      <c r="B490" s="42" t="s">
        <v>17</v>
      </c>
      <c r="C490" s="42" t="s">
        <v>1313</v>
      </c>
      <c r="D490" s="41">
        <v>44610</v>
      </c>
      <c r="E490" s="41">
        <v>44610</v>
      </c>
      <c r="F490" s="42" t="s">
        <v>1314</v>
      </c>
      <c r="G490" s="43"/>
      <c r="H490" s="43" t="s">
        <v>1315</v>
      </c>
      <c r="I490" s="43"/>
      <c r="J490" s="43" t="s">
        <v>3</v>
      </c>
      <c r="K490" s="43" t="s">
        <v>12</v>
      </c>
      <c r="L490" s="44" t="str">
        <f>IF(Tabla2[[#This Row],[Fecha de Resp]]&gt;Tabla2[[#This Row],[Fecha MAX de Resp]],"Retrasado",IF(Tabla2[[#This Row],[Fecha de Resp]]=0,"Pendiente",IF(Tabla2[[#This Row],[Fecha de Resp]]&lt;=Tabla2[[#This Row],[Fecha MAX de Resp]],"A Tiempo",0)))</f>
        <v>A Tiempo</v>
      </c>
      <c r="M490" s="44"/>
      <c r="N490" s="44"/>
      <c r="O490" s="48" t="b">
        <f>EXACT(Tabla2[[#This Row],[Fecha de Recibido]],Tabla2[[#This Row],[Fecha MAX de Resp]])</f>
        <v>0</v>
      </c>
      <c r="P490" s="48" t="b">
        <f>EXACT(Tabla2[[#This Row],[Fecha de Recibido]],Tabla2[[#This Row],[Fecha de Resp]])</f>
        <v>0</v>
      </c>
      <c r="Q490" s="45">
        <f>DATE(YEAR(Tabla2[[#This Row],[Fecha de Recibido]]),MONTH(Tabla2[[#This Row],[Fecha de Recibido]]),1)</f>
        <v>44593</v>
      </c>
      <c r="R490" s="45" t="s">
        <v>63</v>
      </c>
    </row>
    <row r="491" spans="1:18" s="42" customFormat="1" ht="36.75" customHeight="1">
      <c r="A491" s="63">
        <v>44596</v>
      </c>
      <c r="B491" s="42" t="s">
        <v>17</v>
      </c>
      <c r="C491" s="42" t="s">
        <v>1316</v>
      </c>
      <c r="D491" s="41">
        <v>44610</v>
      </c>
      <c r="E491" s="41">
        <v>44610</v>
      </c>
      <c r="F491" s="42" t="s">
        <v>1317</v>
      </c>
      <c r="G491" s="43"/>
      <c r="H491" s="43" t="s">
        <v>1318</v>
      </c>
      <c r="I491" s="43"/>
      <c r="J491" s="43" t="s">
        <v>3</v>
      </c>
      <c r="K491" s="43" t="s">
        <v>12</v>
      </c>
      <c r="L491" s="44" t="str">
        <f>IF(Tabla2[[#This Row],[Fecha de Resp]]&gt;Tabla2[[#This Row],[Fecha MAX de Resp]],"Retrasado",IF(Tabla2[[#This Row],[Fecha de Resp]]=0,"Pendiente",IF(Tabla2[[#This Row],[Fecha de Resp]]&lt;=Tabla2[[#This Row],[Fecha MAX de Resp]],"A Tiempo",0)))</f>
        <v>A Tiempo</v>
      </c>
      <c r="M491" s="44"/>
      <c r="N491" s="44"/>
      <c r="O491" s="48" t="b">
        <f>EXACT(Tabla2[[#This Row],[Fecha de Recibido]],Tabla2[[#This Row],[Fecha MAX de Resp]])</f>
        <v>0</v>
      </c>
      <c r="P491" s="48" t="b">
        <f>EXACT(Tabla2[[#This Row],[Fecha de Recibido]],Tabla2[[#This Row],[Fecha de Resp]])</f>
        <v>0</v>
      </c>
      <c r="Q491" s="45">
        <f>DATE(YEAR(Tabla2[[#This Row],[Fecha de Recibido]]),MONTH(Tabla2[[#This Row],[Fecha de Recibido]]),1)</f>
        <v>44593</v>
      </c>
      <c r="R491" s="45" t="s">
        <v>63</v>
      </c>
    </row>
    <row r="492" spans="1:18" s="42" customFormat="1" ht="36.75" customHeight="1">
      <c r="A492" s="63">
        <v>44592</v>
      </c>
      <c r="B492" s="42" t="s">
        <v>30</v>
      </c>
      <c r="C492" s="42" t="s">
        <v>1319</v>
      </c>
      <c r="D492" s="41">
        <v>44592</v>
      </c>
      <c r="E492" s="41">
        <v>44592</v>
      </c>
      <c r="F492" s="42" t="s">
        <v>1320</v>
      </c>
      <c r="G492" s="43"/>
      <c r="H492" s="43" t="s">
        <v>1321</v>
      </c>
      <c r="I492" s="43"/>
      <c r="J492" s="43" t="s">
        <v>14</v>
      </c>
      <c r="K492" s="43" t="s">
        <v>360</v>
      </c>
      <c r="L492" s="44" t="str">
        <f>IF(Tabla2[[#This Row],[Fecha de Resp]]&gt;Tabla2[[#This Row],[Fecha MAX de Resp]],"Retrasado",IF(Tabla2[[#This Row],[Fecha de Resp]]=0,"Pendiente",IF(Tabla2[[#This Row],[Fecha de Resp]]&lt;=Tabla2[[#This Row],[Fecha MAX de Resp]],"A Tiempo",0)))</f>
        <v>A Tiempo</v>
      </c>
      <c r="M492" s="44"/>
      <c r="N492" s="44"/>
      <c r="O492" s="48" t="b">
        <f>EXACT(Tabla2[[#This Row],[Fecha de Recibido]],Tabla2[[#This Row],[Fecha MAX de Resp]])</f>
        <v>1</v>
      </c>
      <c r="P492" s="48" t="b">
        <f>EXACT(Tabla2[[#This Row],[Fecha de Recibido]],Tabla2[[#This Row],[Fecha de Resp]])</f>
        <v>1</v>
      </c>
      <c r="Q492" s="45">
        <f>DATE(YEAR(Tabla2[[#This Row],[Fecha de Recibido]]),MONTH(Tabla2[[#This Row],[Fecha de Recibido]]),1)</f>
        <v>44562</v>
      </c>
      <c r="R492" s="45" t="s">
        <v>63</v>
      </c>
    </row>
    <row r="493" spans="1:18" s="42" customFormat="1" ht="36.75" customHeight="1">
      <c r="A493" s="63">
        <v>44592</v>
      </c>
      <c r="B493" s="42" t="s">
        <v>30</v>
      </c>
      <c r="C493" s="42" t="s">
        <v>1319</v>
      </c>
      <c r="D493" s="41">
        <v>44592</v>
      </c>
      <c r="E493" s="41">
        <v>44592</v>
      </c>
      <c r="F493" s="42" t="s">
        <v>1320</v>
      </c>
      <c r="G493" s="43"/>
      <c r="H493" s="43" t="s">
        <v>1322</v>
      </c>
      <c r="I493" s="43"/>
      <c r="J493" s="43" t="s">
        <v>3</v>
      </c>
      <c r="K493" s="43" t="s">
        <v>360</v>
      </c>
      <c r="L493" s="44" t="str">
        <f>IF(Tabla2[[#This Row],[Fecha de Resp]]&gt;Tabla2[[#This Row],[Fecha MAX de Resp]],"Retrasado",IF(Tabla2[[#This Row],[Fecha de Resp]]=0,"Pendiente",IF(Tabla2[[#This Row],[Fecha de Resp]]&lt;=Tabla2[[#This Row],[Fecha MAX de Resp]],"A Tiempo",0)))</f>
        <v>A Tiempo</v>
      </c>
      <c r="M493" s="44"/>
      <c r="N493" s="44"/>
      <c r="O493" s="48" t="b">
        <f>EXACT(Tabla2[[#This Row],[Fecha de Recibido]],Tabla2[[#This Row],[Fecha MAX de Resp]])</f>
        <v>1</v>
      </c>
      <c r="P493" s="48" t="b">
        <f>EXACT(Tabla2[[#This Row],[Fecha de Recibido]],Tabla2[[#This Row],[Fecha de Resp]])</f>
        <v>1</v>
      </c>
      <c r="Q493" s="45">
        <f>DATE(YEAR(Tabla2[[#This Row],[Fecha de Recibido]]),MONTH(Tabla2[[#This Row],[Fecha de Recibido]]),1)</f>
        <v>44562</v>
      </c>
      <c r="R493" s="45" t="s">
        <v>63</v>
      </c>
    </row>
    <row r="494" spans="1:18" s="42" customFormat="1" ht="36.75" customHeight="1">
      <c r="A494" s="63">
        <v>44592</v>
      </c>
      <c r="B494" s="42" t="s">
        <v>30</v>
      </c>
      <c r="C494" s="42" t="s">
        <v>1319</v>
      </c>
      <c r="D494" s="41">
        <v>44592</v>
      </c>
      <c r="E494" s="41">
        <v>44592</v>
      </c>
      <c r="F494" s="42" t="s">
        <v>1320</v>
      </c>
      <c r="G494" s="43"/>
      <c r="H494" s="43" t="s">
        <v>1323</v>
      </c>
      <c r="I494" s="43"/>
      <c r="J494" s="43" t="s">
        <v>8</v>
      </c>
      <c r="K494" s="43" t="s">
        <v>360</v>
      </c>
      <c r="L494" s="44" t="str">
        <f>IF(Tabla2[[#This Row],[Fecha de Resp]]&gt;Tabla2[[#This Row],[Fecha MAX de Resp]],"Retrasado",IF(Tabla2[[#This Row],[Fecha de Resp]]=0,"Pendiente",IF(Tabla2[[#This Row],[Fecha de Resp]]&lt;=Tabla2[[#This Row],[Fecha MAX de Resp]],"A Tiempo",0)))</f>
        <v>A Tiempo</v>
      </c>
      <c r="M494" s="44"/>
      <c r="N494" s="44"/>
      <c r="O494" s="48" t="b">
        <f>EXACT(Tabla2[[#This Row],[Fecha de Recibido]],Tabla2[[#This Row],[Fecha MAX de Resp]])</f>
        <v>1</v>
      </c>
      <c r="P494" s="48" t="b">
        <f>EXACT(Tabla2[[#This Row],[Fecha de Recibido]],Tabla2[[#This Row],[Fecha de Resp]])</f>
        <v>1</v>
      </c>
      <c r="Q494" s="45">
        <f>DATE(YEAR(Tabla2[[#This Row],[Fecha de Recibido]]),MONTH(Tabla2[[#This Row],[Fecha de Recibido]]),1)</f>
        <v>44562</v>
      </c>
      <c r="R494" s="45" t="s">
        <v>63</v>
      </c>
    </row>
    <row r="495" spans="1:18" s="42" customFormat="1" ht="36.75" customHeight="1">
      <c r="A495" s="63">
        <v>44592</v>
      </c>
      <c r="B495" s="42" t="s">
        <v>30</v>
      </c>
      <c r="C495" s="42" t="s">
        <v>1319</v>
      </c>
      <c r="D495" s="41">
        <v>44592</v>
      </c>
      <c r="E495" s="41">
        <v>44592</v>
      </c>
      <c r="F495" s="42" t="s">
        <v>1320</v>
      </c>
      <c r="G495" s="43"/>
      <c r="H495" s="43" t="s">
        <v>1324</v>
      </c>
      <c r="I495" s="43"/>
      <c r="J495" s="43" t="s">
        <v>11</v>
      </c>
      <c r="K495" s="43" t="s">
        <v>360</v>
      </c>
      <c r="L495" s="44" t="str">
        <f>IF(Tabla2[[#This Row],[Fecha de Resp]]&gt;Tabla2[[#This Row],[Fecha MAX de Resp]],"Retrasado",IF(Tabla2[[#This Row],[Fecha de Resp]]=0,"Pendiente",IF(Tabla2[[#This Row],[Fecha de Resp]]&lt;=Tabla2[[#This Row],[Fecha MAX de Resp]],"A Tiempo",0)))</f>
        <v>A Tiempo</v>
      </c>
      <c r="M495" s="44"/>
      <c r="N495" s="44"/>
      <c r="O495" s="48" t="b">
        <f>EXACT(Tabla2[[#This Row],[Fecha de Recibido]],Tabla2[[#This Row],[Fecha MAX de Resp]])</f>
        <v>1</v>
      </c>
      <c r="P495" s="48" t="b">
        <f>EXACT(Tabla2[[#This Row],[Fecha de Recibido]],Tabla2[[#This Row],[Fecha de Resp]])</f>
        <v>1</v>
      </c>
      <c r="Q495" s="45">
        <f>DATE(YEAR(Tabla2[[#This Row],[Fecha de Recibido]]),MONTH(Tabla2[[#This Row],[Fecha de Recibido]]),1)</f>
        <v>44562</v>
      </c>
      <c r="R495" s="45" t="s">
        <v>63</v>
      </c>
    </row>
    <row r="496" spans="1:18" s="42" customFormat="1" ht="36.75" customHeight="1">
      <c r="A496" s="63">
        <v>44592</v>
      </c>
      <c r="B496" s="42" t="s">
        <v>32</v>
      </c>
      <c r="C496" s="42" t="s">
        <v>1325</v>
      </c>
      <c r="D496" s="41">
        <v>44592</v>
      </c>
      <c r="E496" s="41">
        <v>44592</v>
      </c>
      <c r="F496" s="42" t="s">
        <v>1326</v>
      </c>
      <c r="G496" s="43"/>
      <c r="H496" s="43" t="s">
        <v>1327</v>
      </c>
      <c r="I496" s="43"/>
      <c r="J496" s="43" t="s">
        <v>3</v>
      </c>
      <c r="K496" s="43" t="s">
        <v>352</v>
      </c>
      <c r="L496" s="44" t="str">
        <f>IF(Tabla2[[#This Row],[Fecha de Resp]]&gt;Tabla2[[#This Row],[Fecha MAX de Resp]],"Retrasado",IF(Tabla2[[#This Row],[Fecha de Resp]]=0,"Pendiente",IF(Tabla2[[#This Row],[Fecha de Resp]]&lt;=Tabla2[[#This Row],[Fecha MAX de Resp]],"A Tiempo",0)))</f>
        <v>A Tiempo</v>
      </c>
      <c r="M496" s="44"/>
      <c r="N496" s="44"/>
      <c r="O496" s="48" t="b">
        <f>EXACT(Tabla2[[#This Row],[Fecha de Recibido]],Tabla2[[#This Row],[Fecha MAX de Resp]])</f>
        <v>1</v>
      </c>
      <c r="P496" s="48" t="b">
        <f>EXACT(Tabla2[[#This Row],[Fecha de Recibido]],Tabla2[[#This Row],[Fecha de Resp]])</f>
        <v>1</v>
      </c>
      <c r="Q496" s="45">
        <f>DATE(YEAR(Tabla2[[#This Row],[Fecha de Recibido]]),MONTH(Tabla2[[#This Row],[Fecha de Recibido]]),1)</f>
        <v>44562</v>
      </c>
      <c r="R496" s="45" t="s">
        <v>63</v>
      </c>
    </row>
    <row r="497" spans="1:18" s="42" customFormat="1" ht="36.75" customHeight="1">
      <c r="A497" s="63">
        <v>44592</v>
      </c>
      <c r="B497" s="42" t="s">
        <v>32</v>
      </c>
      <c r="C497" s="42" t="s">
        <v>1325</v>
      </c>
      <c r="D497" s="41">
        <v>44592</v>
      </c>
      <c r="E497" s="41">
        <v>44592</v>
      </c>
      <c r="F497" s="42" t="s">
        <v>1326</v>
      </c>
      <c r="G497" s="43"/>
      <c r="H497" s="43" t="s">
        <v>1328</v>
      </c>
      <c r="I497" s="43"/>
      <c r="J497" s="43" t="s">
        <v>11</v>
      </c>
      <c r="K497" s="43" t="s">
        <v>352</v>
      </c>
      <c r="L497" s="44" t="str">
        <f>IF(Tabla2[[#This Row],[Fecha de Resp]]&gt;Tabla2[[#This Row],[Fecha MAX de Resp]],"Retrasado",IF(Tabla2[[#This Row],[Fecha de Resp]]=0,"Pendiente",IF(Tabla2[[#This Row],[Fecha de Resp]]&lt;=Tabla2[[#This Row],[Fecha MAX de Resp]],"A Tiempo",0)))</f>
        <v>A Tiempo</v>
      </c>
      <c r="M497" s="44"/>
      <c r="N497" s="44"/>
      <c r="O497" s="48" t="b">
        <f>EXACT(Tabla2[[#This Row],[Fecha de Recibido]],Tabla2[[#This Row],[Fecha MAX de Resp]])</f>
        <v>1</v>
      </c>
      <c r="P497" s="48" t="b">
        <f>EXACT(Tabla2[[#This Row],[Fecha de Recibido]],Tabla2[[#This Row],[Fecha de Resp]])</f>
        <v>1</v>
      </c>
      <c r="Q497" s="45">
        <f>DATE(YEAR(Tabla2[[#This Row],[Fecha de Recibido]]),MONTH(Tabla2[[#This Row],[Fecha de Recibido]]),1)</f>
        <v>44562</v>
      </c>
      <c r="R497" s="45" t="s">
        <v>63</v>
      </c>
    </row>
    <row r="498" spans="1:18" s="42" customFormat="1" ht="36.75" customHeight="1">
      <c r="A498" s="63">
        <v>44592</v>
      </c>
      <c r="B498" s="42" t="s">
        <v>32</v>
      </c>
      <c r="C498" s="42" t="s">
        <v>1325</v>
      </c>
      <c r="D498" s="41">
        <v>44592</v>
      </c>
      <c r="E498" s="41">
        <v>44592</v>
      </c>
      <c r="F498" s="42" t="s">
        <v>1326</v>
      </c>
      <c r="G498" s="43"/>
      <c r="H498" s="43" t="s">
        <v>1329</v>
      </c>
      <c r="I498" s="43"/>
      <c r="J498" s="43" t="s">
        <v>8</v>
      </c>
      <c r="K498" s="43" t="s">
        <v>352</v>
      </c>
      <c r="L498" s="44" t="str">
        <f>IF(Tabla2[[#This Row],[Fecha de Resp]]&gt;Tabla2[[#This Row],[Fecha MAX de Resp]],"Retrasado",IF(Tabla2[[#This Row],[Fecha de Resp]]=0,"Pendiente",IF(Tabla2[[#This Row],[Fecha de Resp]]&lt;=Tabla2[[#This Row],[Fecha MAX de Resp]],"A Tiempo",0)))</f>
        <v>A Tiempo</v>
      </c>
      <c r="M498" s="44"/>
      <c r="N498" s="44"/>
      <c r="O498" s="48" t="b">
        <f>EXACT(Tabla2[[#This Row],[Fecha de Recibido]],Tabla2[[#This Row],[Fecha MAX de Resp]])</f>
        <v>1</v>
      </c>
      <c r="P498" s="48" t="b">
        <f>EXACT(Tabla2[[#This Row],[Fecha de Recibido]],Tabla2[[#This Row],[Fecha de Resp]])</f>
        <v>1</v>
      </c>
      <c r="Q498" s="45">
        <f>DATE(YEAR(Tabla2[[#This Row],[Fecha de Recibido]]),MONTH(Tabla2[[#This Row],[Fecha de Recibido]]),1)</f>
        <v>44562</v>
      </c>
      <c r="R498" s="45" t="s">
        <v>63</v>
      </c>
    </row>
    <row r="499" spans="1:18" s="42" customFormat="1" ht="36.75" customHeight="1">
      <c r="A499" s="63">
        <v>44592</v>
      </c>
      <c r="B499" s="42" t="s">
        <v>32</v>
      </c>
      <c r="C499" s="42" t="s">
        <v>1325</v>
      </c>
      <c r="D499" s="41">
        <v>44592</v>
      </c>
      <c r="E499" s="41">
        <v>44592</v>
      </c>
      <c r="F499" s="42" t="s">
        <v>1326</v>
      </c>
      <c r="G499" s="43"/>
      <c r="H499" s="43" t="s">
        <v>1330</v>
      </c>
      <c r="I499" s="43"/>
      <c r="J499" s="43" t="s">
        <v>14</v>
      </c>
      <c r="K499" s="43" t="s">
        <v>352</v>
      </c>
      <c r="L499" s="44" t="str">
        <f>IF(Tabla2[[#This Row],[Fecha de Resp]]&gt;Tabla2[[#This Row],[Fecha MAX de Resp]],"Retrasado",IF(Tabla2[[#This Row],[Fecha de Resp]]=0,"Pendiente",IF(Tabla2[[#This Row],[Fecha de Resp]]&lt;=Tabla2[[#This Row],[Fecha MAX de Resp]],"A Tiempo",0)))</f>
        <v>A Tiempo</v>
      </c>
      <c r="M499" s="44"/>
      <c r="N499" s="44"/>
      <c r="O499" s="48" t="b">
        <f>EXACT(Tabla2[[#This Row],[Fecha de Recibido]],Tabla2[[#This Row],[Fecha MAX de Resp]])</f>
        <v>1</v>
      </c>
      <c r="P499" s="48" t="b">
        <f>EXACT(Tabla2[[#This Row],[Fecha de Recibido]],Tabla2[[#This Row],[Fecha de Resp]])</f>
        <v>1</v>
      </c>
      <c r="Q499" s="45">
        <f>DATE(YEAR(Tabla2[[#This Row],[Fecha de Recibido]]),MONTH(Tabla2[[#This Row],[Fecha de Recibido]]),1)</f>
        <v>44562</v>
      </c>
      <c r="R499" s="45" t="s">
        <v>63</v>
      </c>
    </row>
    <row r="500" spans="1:18" s="42" customFormat="1" ht="36.75" customHeight="1">
      <c r="A500" s="63">
        <v>44588</v>
      </c>
      <c r="B500" s="42" t="s">
        <v>17</v>
      </c>
      <c r="C500" s="42" t="s">
        <v>1331</v>
      </c>
      <c r="D500" s="41">
        <v>44596</v>
      </c>
      <c r="E500" s="41">
        <v>44596</v>
      </c>
      <c r="F500" s="42" t="s">
        <v>1332</v>
      </c>
      <c r="G500" s="43"/>
      <c r="H500" s="43" t="s">
        <v>1333</v>
      </c>
      <c r="I500" s="43"/>
      <c r="J500" s="43" t="s">
        <v>3</v>
      </c>
      <c r="K500" s="43" t="s">
        <v>12</v>
      </c>
      <c r="L500" s="44" t="str">
        <f>IF(Tabla2[[#This Row],[Fecha de Resp]]&gt;Tabla2[[#This Row],[Fecha MAX de Resp]],"Retrasado",IF(Tabla2[[#This Row],[Fecha de Resp]]=0,"Pendiente",IF(Tabla2[[#This Row],[Fecha de Resp]]&lt;=Tabla2[[#This Row],[Fecha MAX de Resp]],"A Tiempo",0)))</f>
        <v>A Tiempo</v>
      </c>
      <c r="M500" s="44"/>
      <c r="N500" s="44"/>
      <c r="O500" s="48" t="b">
        <f>EXACT(Tabla2[[#This Row],[Fecha de Recibido]],Tabla2[[#This Row],[Fecha MAX de Resp]])</f>
        <v>0</v>
      </c>
      <c r="P500" s="48" t="b">
        <f>EXACT(Tabla2[[#This Row],[Fecha de Recibido]],Tabla2[[#This Row],[Fecha de Resp]])</f>
        <v>0</v>
      </c>
      <c r="Q500" s="45">
        <f>DATE(YEAR(Tabla2[[#This Row],[Fecha de Recibido]]),MONTH(Tabla2[[#This Row],[Fecha de Recibido]]),1)</f>
        <v>44562</v>
      </c>
      <c r="R500" s="45" t="s">
        <v>63</v>
      </c>
    </row>
    <row r="501" spans="1:18" s="42" customFormat="1" ht="36.75" customHeight="1">
      <c r="A501" s="63">
        <v>44586</v>
      </c>
      <c r="B501" s="42" t="s">
        <v>17</v>
      </c>
      <c r="C501" s="42" t="s">
        <v>1334</v>
      </c>
      <c r="D501" s="41">
        <v>44589</v>
      </c>
      <c r="E501" s="41">
        <v>44588</v>
      </c>
      <c r="F501" s="42" t="s">
        <v>1335</v>
      </c>
      <c r="G501" s="43"/>
      <c r="H501" s="43" t="s">
        <v>1336</v>
      </c>
      <c r="I501" s="43"/>
      <c r="J501" s="43" t="s">
        <v>3</v>
      </c>
      <c r="K501" s="43" t="s">
        <v>12</v>
      </c>
      <c r="L501" s="44" t="str">
        <f>IF(Tabla2[[#This Row],[Fecha de Resp]]&gt;Tabla2[[#This Row],[Fecha MAX de Resp]],"Retrasado",IF(Tabla2[[#This Row],[Fecha de Resp]]=0,"Pendiente",IF(Tabla2[[#This Row],[Fecha de Resp]]&lt;=Tabla2[[#This Row],[Fecha MAX de Resp]],"A Tiempo",0)))</f>
        <v>A Tiempo</v>
      </c>
      <c r="M501" s="44"/>
      <c r="N501" s="44"/>
      <c r="O501" s="48" t="b">
        <f>EXACT(Tabla2[[#This Row],[Fecha de Recibido]],Tabla2[[#This Row],[Fecha MAX de Resp]])</f>
        <v>0</v>
      </c>
      <c r="P501" s="48" t="b">
        <f>EXACT(Tabla2[[#This Row],[Fecha de Recibido]],Tabla2[[#This Row],[Fecha de Resp]])</f>
        <v>0</v>
      </c>
      <c r="Q501" s="45">
        <f>DATE(YEAR(Tabla2[[#This Row],[Fecha de Recibido]]),MONTH(Tabla2[[#This Row],[Fecha de Recibido]]),1)</f>
        <v>44562</v>
      </c>
      <c r="R501" s="45" t="s">
        <v>63</v>
      </c>
    </row>
    <row r="502" spans="1:18" s="42" customFormat="1" ht="36.75" customHeight="1">
      <c r="A502" s="63">
        <v>44586</v>
      </c>
      <c r="B502" s="42" t="s">
        <v>17</v>
      </c>
      <c r="C502" s="42" t="s">
        <v>1337</v>
      </c>
      <c r="D502" s="41">
        <v>44589</v>
      </c>
      <c r="E502" s="41">
        <v>44588</v>
      </c>
      <c r="F502" s="42" t="s">
        <v>1332</v>
      </c>
      <c r="G502" s="43"/>
      <c r="H502" s="43" t="s">
        <v>1066</v>
      </c>
      <c r="I502" s="43"/>
      <c r="J502" s="43" t="s">
        <v>3</v>
      </c>
      <c r="K502" s="43" t="s">
        <v>12</v>
      </c>
      <c r="L502" s="44" t="str">
        <f>IF(Tabla2[[#This Row],[Fecha de Resp]]&gt;Tabla2[[#This Row],[Fecha MAX de Resp]],"Retrasado",IF(Tabla2[[#This Row],[Fecha de Resp]]=0,"Pendiente",IF(Tabla2[[#This Row],[Fecha de Resp]]&lt;=Tabla2[[#This Row],[Fecha MAX de Resp]],"A Tiempo",0)))</f>
        <v>A Tiempo</v>
      </c>
      <c r="M502" s="44"/>
      <c r="N502" s="44"/>
      <c r="O502" s="48" t="b">
        <f>EXACT(Tabla2[[#This Row],[Fecha de Recibido]],Tabla2[[#This Row],[Fecha MAX de Resp]])</f>
        <v>0</v>
      </c>
      <c r="P502" s="48" t="b">
        <f>EXACT(Tabla2[[#This Row],[Fecha de Recibido]],Tabla2[[#This Row],[Fecha de Resp]])</f>
        <v>0</v>
      </c>
      <c r="Q502" s="45">
        <f>DATE(YEAR(Tabla2[[#This Row],[Fecha de Recibido]]),MONTH(Tabla2[[#This Row],[Fecha de Recibido]]),1)</f>
        <v>44562</v>
      </c>
      <c r="R502" s="45" t="s">
        <v>63</v>
      </c>
    </row>
    <row r="503" spans="1:18" s="42" customFormat="1" ht="36.75" customHeight="1">
      <c r="A503" s="63">
        <v>44575</v>
      </c>
      <c r="B503" s="42" t="s">
        <v>41</v>
      </c>
      <c r="C503" s="42" t="s">
        <v>1338</v>
      </c>
      <c r="D503" s="41">
        <v>44575</v>
      </c>
      <c r="E503" s="41">
        <v>44575</v>
      </c>
      <c r="F503" s="42" t="s">
        <v>1339</v>
      </c>
      <c r="G503" s="43"/>
      <c r="H503" s="43" t="s">
        <v>1340</v>
      </c>
      <c r="I503" s="43"/>
      <c r="J503" s="43" t="s">
        <v>3</v>
      </c>
      <c r="K503" s="43" t="s">
        <v>9</v>
      </c>
      <c r="L503" s="44" t="str">
        <f>IF(Tabla2[[#This Row],[Fecha de Resp]]&gt;Tabla2[[#This Row],[Fecha MAX de Resp]],"Retrasado",IF(Tabla2[[#This Row],[Fecha de Resp]]=0,"Pendiente",IF(Tabla2[[#This Row],[Fecha de Resp]]&lt;=Tabla2[[#This Row],[Fecha MAX de Resp]],"A Tiempo",0)))</f>
        <v>A Tiempo</v>
      </c>
      <c r="M503" s="44"/>
      <c r="N503" s="44"/>
      <c r="O503" s="48" t="b">
        <f>EXACT(Tabla2[[#This Row],[Fecha de Recibido]],Tabla2[[#This Row],[Fecha MAX de Resp]])</f>
        <v>1</v>
      </c>
      <c r="P503" s="48" t="b">
        <f>EXACT(Tabla2[[#This Row],[Fecha de Recibido]],Tabla2[[#This Row],[Fecha de Resp]])</f>
        <v>1</v>
      </c>
      <c r="Q503" s="45">
        <f>DATE(YEAR(Tabla2[[#This Row],[Fecha de Recibido]]),MONTH(Tabla2[[#This Row],[Fecha de Recibido]]),1)</f>
        <v>44562</v>
      </c>
      <c r="R503" s="45" t="s">
        <v>63</v>
      </c>
    </row>
    <row r="504" spans="1:18" s="42" customFormat="1" ht="36.75" customHeight="1">
      <c r="A504" s="63">
        <v>44575</v>
      </c>
      <c r="B504" s="42" t="s">
        <v>41</v>
      </c>
      <c r="C504" s="42" t="s">
        <v>1338</v>
      </c>
      <c r="D504" s="41">
        <v>44575</v>
      </c>
      <c r="E504" s="41">
        <v>44575</v>
      </c>
      <c r="F504" s="42" t="s">
        <v>1339</v>
      </c>
      <c r="G504" s="43"/>
      <c r="H504" s="43" t="s">
        <v>1341</v>
      </c>
      <c r="I504" s="43"/>
      <c r="J504" s="43" t="s">
        <v>11</v>
      </c>
      <c r="K504" s="43" t="s">
        <v>9</v>
      </c>
      <c r="L504" s="44" t="str">
        <f>IF(Tabla2[[#This Row],[Fecha de Resp]]&gt;Tabla2[[#This Row],[Fecha MAX de Resp]],"Retrasado",IF(Tabla2[[#This Row],[Fecha de Resp]]=0,"Pendiente",IF(Tabla2[[#This Row],[Fecha de Resp]]&lt;=Tabla2[[#This Row],[Fecha MAX de Resp]],"A Tiempo",0)))</f>
        <v>A Tiempo</v>
      </c>
      <c r="M504" s="44"/>
      <c r="N504" s="44"/>
      <c r="O504" s="48" t="b">
        <f>EXACT(Tabla2[[#This Row],[Fecha de Recibido]],Tabla2[[#This Row],[Fecha MAX de Resp]])</f>
        <v>1</v>
      </c>
      <c r="P504" s="48" t="b">
        <f>EXACT(Tabla2[[#This Row],[Fecha de Recibido]],Tabla2[[#This Row],[Fecha de Resp]])</f>
        <v>1</v>
      </c>
      <c r="Q504" s="45">
        <f>DATE(YEAR(Tabla2[[#This Row],[Fecha de Recibido]]),MONTH(Tabla2[[#This Row],[Fecha de Recibido]]),1)</f>
        <v>44562</v>
      </c>
      <c r="R504" s="45" t="s">
        <v>63</v>
      </c>
    </row>
    <row r="505" spans="1:18" s="42" customFormat="1" ht="36.75" customHeight="1">
      <c r="A505" s="63">
        <v>44575</v>
      </c>
      <c r="B505" s="42" t="s">
        <v>41</v>
      </c>
      <c r="C505" s="42" t="s">
        <v>1338</v>
      </c>
      <c r="D505" s="41">
        <v>44575</v>
      </c>
      <c r="E505" s="41">
        <v>44575</v>
      </c>
      <c r="F505" s="42" t="s">
        <v>1339</v>
      </c>
      <c r="G505" s="43"/>
      <c r="H505" s="43" t="s">
        <v>1342</v>
      </c>
      <c r="I505" s="43"/>
      <c r="J505" s="43" t="s">
        <v>8</v>
      </c>
      <c r="K505" s="43" t="s">
        <v>9</v>
      </c>
      <c r="L505" s="44" t="str">
        <f>IF(Tabla2[[#This Row],[Fecha de Resp]]&gt;Tabla2[[#This Row],[Fecha MAX de Resp]],"Retrasado",IF(Tabla2[[#This Row],[Fecha de Resp]]=0,"Pendiente",IF(Tabla2[[#This Row],[Fecha de Resp]]&lt;=Tabla2[[#This Row],[Fecha MAX de Resp]],"A Tiempo",0)))</f>
        <v>A Tiempo</v>
      </c>
      <c r="M505" s="44"/>
      <c r="N505" s="44"/>
      <c r="O505" s="48" t="b">
        <f>EXACT(Tabla2[[#This Row],[Fecha de Recibido]],Tabla2[[#This Row],[Fecha MAX de Resp]])</f>
        <v>1</v>
      </c>
      <c r="P505" s="48" t="b">
        <f>EXACT(Tabla2[[#This Row],[Fecha de Recibido]],Tabla2[[#This Row],[Fecha de Resp]])</f>
        <v>1</v>
      </c>
      <c r="Q505" s="45">
        <f>DATE(YEAR(Tabla2[[#This Row],[Fecha de Recibido]]),MONTH(Tabla2[[#This Row],[Fecha de Recibido]]),1)</f>
        <v>44562</v>
      </c>
      <c r="R505" s="45" t="s">
        <v>63</v>
      </c>
    </row>
    <row r="506" spans="1:18" s="42" customFormat="1" ht="36.75" customHeight="1">
      <c r="A506" s="63">
        <v>44575</v>
      </c>
      <c r="B506" s="42" t="s">
        <v>41</v>
      </c>
      <c r="C506" s="42" t="s">
        <v>1338</v>
      </c>
      <c r="D506" s="41">
        <v>44575</v>
      </c>
      <c r="E506" s="41">
        <v>44575</v>
      </c>
      <c r="F506" s="42" t="s">
        <v>1339</v>
      </c>
      <c r="G506" s="43"/>
      <c r="H506" s="43" t="s">
        <v>1343</v>
      </c>
      <c r="I506" s="43"/>
      <c r="J506" s="43" t="s">
        <v>14</v>
      </c>
      <c r="K506" s="43" t="s">
        <v>9</v>
      </c>
      <c r="L506" s="44" t="str">
        <f>IF(Tabla2[[#This Row],[Fecha de Resp]]&gt;Tabla2[[#This Row],[Fecha MAX de Resp]],"Retrasado",IF(Tabla2[[#This Row],[Fecha de Resp]]=0,"Pendiente",IF(Tabla2[[#This Row],[Fecha de Resp]]&lt;=Tabla2[[#This Row],[Fecha MAX de Resp]],"A Tiempo",0)))</f>
        <v>A Tiempo</v>
      </c>
      <c r="M506" s="44"/>
      <c r="N506" s="44"/>
      <c r="O506" s="48" t="b">
        <f>EXACT(Tabla2[[#This Row],[Fecha de Recibido]],Tabla2[[#This Row],[Fecha MAX de Resp]])</f>
        <v>1</v>
      </c>
      <c r="P506" s="48" t="b">
        <f>EXACT(Tabla2[[#This Row],[Fecha de Recibido]],Tabla2[[#This Row],[Fecha de Resp]])</f>
        <v>1</v>
      </c>
      <c r="Q506" s="45">
        <f>DATE(YEAR(Tabla2[[#This Row],[Fecha de Recibido]]),MONTH(Tabla2[[#This Row],[Fecha de Recibido]]),1)</f>
        <v>44562</v>
      </c>
      <c r="R506" s="45" t="s">
        <v>63</v>
      </c>
    </row>
    <row r="507" spans="1:18" s="42" customFormat="1" ht="36.75" customHeight="1">
      <c r="A507" s="63">
        <v>44575</v>
      </c>
      <c r="B507" s="42" t="s">
        <v>30</v>
      </c>
      <c r="C507" s="42" t="s">
        <v>1344</v>
      </c>
      <c r="D507" s="41">
        <v>44575</v>
      </c>
      <c r="E507" s="41">
        <v>44575</v>
      </c>
      <c r="F507" s="42" t="s">
        <v>1345</v>
      </c>
      <c r="G507" s="43"/>
      <c r="H507" s="43" t="s">
        <v>1346</v>
      </c>
      <c r="I507" s="43"/>
      <c r="J507" s="43" t="s">
        <v>3</v>
      </c>
      <c r="K507" s="43" t="s">
        <v>360</v>
      </c>
      <c r="L507" s="44" t="str">
        <f>IF(Tabla2[[#This Row],[Fecha de Resp]]&gt;Tabla2[[#This Row],[Fecha MAX de Resp]],"Retrasado",IF(Tabla2[[#This Row],[Fecha de Resp]]=0,"Pendiente",IF(Tabla2[[#This Row],[Fecha de Resp]]&lt;=Tabla2[[#This Row],[Fecha MAX de Resp]],"A Tiempo",0)))</f>
        <v>A Tiempo</v>
      </c>
      <c r="M507" s="44"/>
      <c r="N507" s="44"/>
      <c r="O507" s="48" t="b">
        <f>EXACT(Tabla2[[#This Row],[Fecha de Recibido]],Tabla2[[#This Row],[Fecha MAX de Resp]])</f>
        <v>1</v>
      </c>
      <c r="P507" s="48" t="b">
        <f>EXACT(Tabla2[[#This Row],[Fecha de Recibido]],Tabla2[[#This Row],[Fecha de Resp]])</f>
        <v>1</v>
      </c>
      <c r="Q507" s="45">
        <f>DATE(YEAR(Tabla2[[#This Row],[Fecha de Recibido]]),MONTH(Tabla2[[#This Row],[Fecha de Recibido]]),1)</f>
        <v>44562</v>
      </c>
      <c r="R507" s="45" t="s">
        <v>63</v>
      </c>
    </row>
    <row r="508" spans="1:18" s="42" customFormat="1" ht="36.75" customHeight="1">
      <c r="A508" s="63">
        <v>44574</v>
      </c>
      <c r="B508" s="42" t="s">
        <v>32</v>
      </c>
      <c r="C508" s="42" t="s">
        <v>1347</v>
      </c>
      <c r="D508" s="41">
        <v>44574</v>
      </c>
      <c r="E508" s="41">
        <v>44574</v>
      </c>
      <c r="F508" s="42" t="s">
        <v>1348</v>
      </c>
      <c r="G508" s="43"/>
      <c r="H508" s="43" t="s">
        <v>1349</v>
      </c>
      <c r="I508" s="43"/>
      <c r="J508" s="43" t="s">
        <v>3</v>
      </c>
      <c r="K508" s="43" t="s">
        <v>360</v>
      </c>
      <c r="L508" s="44" t="str">
        <f>IF(Tabla2[[#This Row],[Fecha de Resp]]&gt;Tabla2[[#This Row],[Fecha MAX de Resp]],"Retrasado",IF(Tabla2[[#This Row],[Fecha de Resp]]=0,"Pendiente",IF(Tabla2[[#This Row],[Fecha de Resp]]&lt;=Tabla2[[#This Row],[Fecha MAX de Resp]],"A Tiempo",0)))</f>
        <v>A Tiempo</v>
      </c>
      <c r="M508" s="44"/>
      <c r="N508" s="44"/>
      <c r="O508" s="48" t="b">
        <f>EXACT(Tabla2[[#This Row],[Fecha de Recibido]],Tabla2[[#This Row],[Fecha MAX de Resp]])</f>
        <v>1</v>
      </c>
      <c r="P508" s="48" t="b">
        <f>EXACT(Tabla2[[#This Row],[Fecha de Recibido]],Tabla2[[#This Row],[Fecha de Resp]])</f>
        <v>1</v>
      </c>
      <c r="Q508" s="45">
        <f>DATE(YEAR(Tabla2[[#This Row],[Fecha de Recibido]]),MONTH(Tabla2[[#This Row],[Fecha de Recibido]]),1)</f>
        <v>44562</v>
      </c>
      <c r="R508" s="45" t="s">
        <v>63</v>
      </c>
    </row>
    <row r="509" spans="1:18" s="42" customFormat="1" ht="36.75" customHeight="1">
      <c r="A509" s="63">
        <v>44574</v>
      </c>
      <c r="B509" s="42" t="s">
        <v>17</v>
      </c>
      <c r="C509" s="42" t="s">
        <v>1350</v>
      </c>
      <c r="D509" s="41">
        <v>44574</v>
      </c>
      <c r="E509" s="41">
        <v>44574</v>
      </c>
      <c r="F509" s="42" t="s">
        <v>1351</v>
      </c>
      <c r="G509" s="43"/>
      <c r="H509" s="43" t="s">
        <v>1352</v>
      </c>
      <c r="I509" s="43"/>
      <c r="J509" s="43" t="s">
        <v>3</v>
      </c>
      <c r="K509" s="43" t="s">
        <v>12</v>
      </c>
      <c r="L509" s="44" t="str">
        <f>IF(Tabla2[[#This Row],[Fecha de Resp]]&gt;Tabla2[[#This Row],[Fecha MAX de Resp]],"Retrasado",IF(Tabla2[[#This Row],[Fecha de Resp]]=0,"Pendiente",IF(Tabla2[[#This Row],[Fecha de Resp]]&lt;=Tabla2[[#This Row],[Fecha MAX de Resp]],"A Tiempo",0)))</f>
        <v>A Tiempo</v>
      </c>
      <c r="M509" s="44"/>
      <c r="N509" s="44"/>
      <c r="O509" s="48" t="b">
        <f>EXACT(Tabla2[[#This Row],[Fecha de Recibido]],Tabla2[[#This Row],[Fecha MAX de Resp]])</f>
        <v>1</v>
      </c>
      <c r="P509" s="48" t="b">
        <f>EXACT(Tabla2[[#This Row],[Fecha de Recibido]],Tabla2[[#This Row],[Fecha de Resp]])</f>
        <v>1</v>
      </c>
      <c r="Q509" s="45">
        <f>DATE(YEAR(Tabla2[[#This Row],[Fecha de Recibido]]),MONTH(Tabla2[[#This Row],[Fecha de Recibido]]),1)</f>
        <v>44562</v>
      </c>
      <c r="R509" s="45" t="s">
        <v>63</v>
      </c>
    </row>
    <row r="510" spans="1:18" s="42" customFormat="1" ht="36.75" customHeight="1">
      <c r="A510" s="63">
        <v>44574</v>
      </c>
      <c r="B510" s="42" t="s">
        <v>17</v>
      </c>
      <c r="C510" s="42" t="s">
        <v>1350</v>
      </c>
      <c r="D510" s="41">
        <v>44574</v>
      </c>
      <c r="E510" s="41">
        <v>44574</v>
      </c>
      <c r="F510" s="42" t="s">
        <v>1353</v>
      </c>
      <c r="G510" s="43"/>
      <c r="H510" s="43" t="s">
        <v>1354</v>
      </c>
      <c r="I510" s="43"/>
      <c r="J510" s="43" t="s">
        <v>14</v>
      </c>
      <c r="K510" s="43" t="s">
        <v>12</v>
      </c>
      <c r="L510" s="44" t="str">
        <f>IF(Tabla2[[#This Row],[Fecha de Resp]]&gt;Tabla2[[#This Row],[Fecha MAX de Resp]],"Retrasado",IF(Tabla2[[#This Row],[Fecha de Resp]]=0,"Pendiente",IF(Tabla2[[#This Row],[Fecha de Resp]]&lt;=Tabla2[[#This Row],[Fecha MAX de Resp]],"A Tiempo",0)))</f>
        <v>A Tiempo</v>
      </c>
      <c r="M510" s="44"/>
      <c r="N510" s="44"/>
      <c r="O510" s="48" t="b">
        <f>EXACT(Tabla2[[#This Row],[Fecha de Recibido]],Tabla2[[#This Row],[Fecha MAX de Resp]])</f>
        <v>1</v>
      </c>
      <c r="P510" s="48" t="b">
        <f>EXACT(Tabla2[[#This Row],[Fecha de Recibido]],Tabla2[[#This Row],[Fecha de Resp]])</f>
        <v>1</v>
      </c>
      <c r="Q510" s="45">
        <f>DATE(YEAR(Tabla2[[#This Row],[Fecha de Recibido]]),MONTH(Tabla2[[#This Row],[Fecha de Recibido]]),1)</f>
        <v>44562</v>
      </c>
      <c r="R510" s="45" t="s">
        <v>63</v>
      </c>
    </row>
    <row r="511" spans="1:18" s="42" customFormat="1" ht="36.75" customHeight="1">
      <c r="A511" s="63">
        <v>44574</v>
      </c>
      <c r="B511" s="42" t="s">
        <v>17</v>
      </c>
      <c r="C511" s="42" t="s">
        <v>1355</v>
      </c>
      <c r="D511" s="41">
        <v>44574</v>
      </c>
      <c r="E511" s="41">
        <v>44574</v>
      </c>
      <c r="F511" s="42" t="s">
        <v>1356</v>
      </c>
      <c r="G511" s="43"/>
      <c r="H511" s="43" t="s">
        <v>1357</v>
      </c>
      <c r="I511" s="43"/>
      <c r="J511" s="43" t="s">
        <v>8</v>
      </c>
      <c r="K511" s="43" t="s">
        <v>12</v>
      </c>
      <c r="L511" s="44" t="str">
        <f>IF(Tabla2[[#This Row],[Fecha de Resp]]&gt;Tabla2[[#This Row],[Fecha MAX de Resp]],"Retrasado",IF(Tabla2[[#This Row],[Fecha de Resp]]=0,"Pendiente",IF(Tabla2[[#This Row],[Fecha de Resp]]&lt;=Tabla2[[#This Row],[Fecha MAX de Resp]],"A Tiempo",0)))</f>
        <v>A Tiempo</v>
      </c>
      <c r="M511" s="44"/>
      <c r="N511" s="44"/>
      <c r="O511" s="48" t="b">
        <f>EXACT(Tabla2[[#This Row],[Fecha de Recibido]],Tabla2[[#This Row],[Fecha MAX de Resp]])</f>
        <v>1</v>
      </c>
      <c r="P511" s="48" t="b">
        <f>EXACT(Tabla2[[#This Row],[Fecha de Recibido]],Tabla2[[#This Row],[Fecha de Resp]])</f>
        <v>1</v>
      </c>
      <c r="Q511" s="45">
        <f>DATE(YEAR(Tabla2[[#This Row],[Fecha de Recibido]]),MONTH(Tabla2[[#This Row],[Fecha de Recibido]]),1)</f>
        <v>44562</v>
      </c>
      <c r="R511" s="45" t="s">
        <v>63</v>
      </c>
    </row>
    <row r="512" spans="1:18" s="42" customFormat="1" ht="36.75" customHeight="1">
      <c r="A512" s="63">
        <v>44574</v>
      </c>
      <c r="B512" s="42" t="s">
        <v>17</v>
      </c>
      <c r="C512" s="42" t="s">
        <v>1358</v>
      </c>
      <c r="D512" s="41">
        <v>44574</v>
      </c>
      <c r="E512" s="41">
        <v>44574</v>
      </c>
      <c r="F512" s="42" t="s">
        <v>1359</v>
      </c>
      <c r="G512" s="43"/>
      <c r="H512" s="43" t="s">
        <v>1360</v>
      </c>
      <c r="I512" s="43"/>
      <c r="J512" s="43" t="s">
        <v>8</v>
      </c>
      <c r="K512" s="43" t="s">
        <v>12</v>
      </c>
      <c r="L512" s="44" t="str">
        <f>IF(Tabla2[[#This Row],[Fecha de Resp]]&gt;Tabla2[[#This Row],[Fecha MAX de Resp]],"Retrasado",IF(Tabla2[[#This Row],[Fecha de Resp]]=0,"Pendiente",IF(Tabla2[[#This Row],[Fecha de Resp]]&lt;=Tabla2[[#This Row],[Fecha MAX de Resp]],"A Tiempo",0)))</f>
        <v>A Tiempo</v>
      </c>
      <c r="M512" s="44"/>
      <c r="N512" s="44"/>
      <c r="O512" s="48" t="b">
        <f>EXACT(Tabla2[[#This Row],[Fecha de Recibido]],Tabla2[[#This Row],[Fecha MAX de Resp]])</f>
        <v>1</v>
      </c>
      <c r="P512" s="48" t="b">
        <f>EXACT(Tabla2[[#This Row],[Fecha de Recibido]],Tabla2[[#This Row],[Fecha de Resp]])</f>
        <v>1</v>
      </c>
      <c r="Q512" s="45">
        <f>DATE(YEAR(Tabla2[[#This Row],[Fecha de Recibido]]),MONTH(Tabla2[[#This Row],[Fecha de Recibido]]),1)</f>
        <v>44562</v>
      </c>
      <c r="R512" s="45" t="s">
        <v>63</v>
      </c>
    </row>
    <row r="513" spans="1:18" ht="45" customHeight="1">
      <c r="A513" s="63">
        <v>44573</v>
      </c>
      <c r="B513" s="42" t="s">
        <v>32</v>
      </c>
      <c r="C513" s="42" t="s">
        <v>1361</v>
      </c>
      <c r="D513" s="41">
        <v>44573</v>
      </c>
      <c r="E513" s="41">
        <v>44573</v>
      </c>
      <c r="F513" s="42" t="s">
        <v>1362</v>
      </c>
      <c r="G513" s="43"/>
      <c r="H513" s="43" t="s">
        <v>1363</v>
      </c>
      <c r="I513" s="43"/>
      <c r="J513" s="43" t="s">
        <v>14</v>
      </c>
      <c r="K513" s="43" t="s">
        <v>360</v>
      </c>
      <c r="L513" s="44" t="str">
        <f>IF(Tabla2[[#This Row],[Fecha de Resp]]&gt;Tabla2[[#This Row],[Fecha MAX de Resp]],"Retrasado",IF(Tabla2[[#This Row],[Fecha de Resp]]=0,"Pendiente",IF(Tabla2[[#This Row],[Fecha de Resp]]&lt;=Tabla2[[#This Row],[Fecha MAX de Resp]],"A Tiempo",0)))</f>
        <v>A Tiempo</v>
      </c>
      <c r="M513" s="44"/>
      <c r="N513" s="44"/>
      <c r="O513" s="48" t="b">
        <f>EXACT(Tabla2[[#This Row],[Fecha de Recibido]],Tabla2[[#This Row],[Fecha MAX de Resp]])</f>
        <v>1</v>
      </c>
      <c r="P513" s="48" t="b">
        <f>EXACT(Tabla2[[#This Row],[Fecha de Recibido]],Tabla2[[#This Row],[Fecha de Resp]])</f>
        <v>1</v>
      </c>
      <c r="Q513" s="45">
        <f>DATE(YEAR(Tabla2[[#This Row],[Fecha de Recibido]]),MONTH(Tabla2[[#This Row],[Fecha de Recibido]]),1)</f>
        <v>44562</v>
      </c>
      <c r="R513" s="45" t="s">
        <v>63</v>
      </c>
    </row>
    <row r="514" spans="1:18" ht="49.5" customHeight="1">
      <c r="A514" s="63">
        <v>44564</v>
      </c>
      <c r="B514" s="42" t="s">
        <v>32</v>
      </c>
      <c r="C514" s="42" t="s">
        <v>1364</v>
      </c>
      <c r="D514" s="41">
        <v>44564</v>
      </c>
      <c r="E514" s="41">
        <v>44564</v>
      </c>
      <c r="F514" s="42" t="s">
        <v>1365</v>
      </c>
      <c r="G514" s="43"/>
      <c r="H514" s="43" t="s">
        <v>1366</v>
      </c>
      <c r="I514" s="43"/>
      <c r="J514" s="43" t="s">
        <v>3</v>
      </c>
      <c r="K514" s="43" t="s">
        <v>360</v>
      </c>
      <c r="L514" s="44" t="str">
        <f>IF(Tabla2[[#This Row],[Fecha de Resp]]&gt;Tabla2[[#This Row],[Fecha MAX de Resp]],"Retrasado",IF(Tabla2[[#This Row],[Fecha de Resp]]=0,"Pendiente",IF(Tabla2[[#This Row],[Fecha de Resp]]&lt;=Tabla2[[#This Row],[Fecha MAX de Resp]],"A Tiempo",0)))</f>
        <v>A Tiempo</v>
      </c>
      <c r="M514" s="44"/>
      <c r="N514" s="44"/>
      <c r="O514" s="48" t="b">
        <f>EXACT(Tabla2[[#This Row],[Fecha de Recibido]],Tabla2[[#This Row],[Fecha MAX de Resp]])</f>
        <v>1</v>
      </c>
      <c r="P514" s="48" t="b">
        <f>EXACT(Tabla2[[#This Row],[Fecha de Recibido]],Tabla2[[#This Row],[Fecha de Resp]])</f>
        <v>1</v>
      </c>
      <c r="Q514" s="45">
        <f>DATE(YEAR(Tabla2[[#This Row],[Fecha de Recibido]]),MONTH(Tabla2[[#This Row],[Fecha de Recibido]]),1)</f>
        <v>44562</v>
      </c>
      <c r="R514" s="45" t="s">
        <v>63</v>
      </c>
    </row>
    <row r="515" spans="1:18" ht="46.5" customHeight="1">
      <c r="A515" s="63">
        <v>44564</v>
      </c>
      <c r="B515" s="42" t="s">
        <v>17</v>
      </c>
      <c r="C515" s="42" t="s">
        <v>1367</v>
      </c>
      <c r="D515" s="41">
        <v>44579</v>
      </c>
      <c r="E515" s="41">
        <v>44579</v>
      </c>
      <c r="F515" s="42" t="s">
        <v>1368</v>
      </c>
      <c r="G515" s="43"/>
      <c r="H515" s="43" t="s">
        <v>1369</v>
      </c>
      <c r="I515" s="43"/>
      <c r="J515" s="43" t="s">
        <v>3</v>
      </c>
      <c r="K515" s="43" t="s">
        <v>12</v>
      </c>
      <c r="L515" s="44" t="str">
        <f>IF(Tabla2[[#This Row],[Fecha de Resp]]&gt;Tabla2[[#This Row],[Fecha MAX de Resp]],"Retrasado",IF(Tabla2[[#This Row],[Fecha de Resp]]=0,"Pendiente",IF(Tabla2[[#This Row],[Fecha de Resp]]&lt;=Tabla2[[#This Row],[Fecha MAX de Resp]],"A Tiempo",0)))</f>
        <v>A Tiempo</v>
      </c>
      <c r="M515" s="44"/>
      <c r="N515" s="44"/>
      <c r="O515" s="48" t="b">
        <f>EXACT(Tabla2[[#This Row],[Fecha de Recibido]],Tabla2[[#This Row],[Fecha MAX de Resp]])</f>
        <v>0</v>
      </c>
      <c r="P515" s="48" t="b">
        <f>EXACT(Tabla2[[#This Row],[Fecha de Recibido]],Tabla2[[#This Row],[Fecha de Resp]])</f>
        <v>0</v>
      </c>
      <c r="Q515" s="45">
        <f>DATE(YEAR(Tabla2[[#This Row],[Fecha de Recibido]]),MONTH(Tabla2[[#This Row],[Fecha de Recibido]]),1)</f>
        <v>44562</v>
      </c>
      <c r="R515" s="45" t="s">
        <v>63</v>
      </c>
    </row>
    <row r="516" spans="1:18" ht="142.5">
      <c r="A516" s="63">
        <v>44559</v>
      </c>
      <c r="B516" s="42" t="s">
        <v>17</v>
      </c>
      <c r="C516" s="42" t="s">
        <v>1370</v>
      </c>
      <c r="D516" s="41">
        <v>44566</v>
      </c>
      <c r="E516" s="41">
        <v>44565</v>
      </c>
      <c r="F516" s="42" t="s">
        <v>1371</v>
      </c>
      <c r="G516" s="43"/>
      <c r="H516" s="43" t="s">
        <v>1372</v>
      </c>
      <c r="I516" s="43"/>
      <c r="J516" s="43" t="s">
        <v>11</v>
      </c>
      <c r="K516" s="43" t="s">
        <v>12</v>
      </c>
      <c r="L516" s="44" t="str">
        <f>IF(Tabla2[[#This Row],[Fecha de Resp]]&gt;Tabla2[[#This Row],[Fecha MAX de Resp]],"Retrasado",IF(Tabla2[[#This Row],[Fecha de Resp]]=0,"Pendiente",IF(Tabla2[[#This Row],[Fecha de Resp]]&lt;=Tabla2[[#This Row],[Fecha MAX de Resp]],"A Tiempo",0)))</f>
        <v>A Tiempo</v>
      </c>
      <c r="M516" s="44"/>
      <c r="N516" s="44"/>
      <c r="O516" s="48" t="b">
        <f>EXACT(Tabla2[[#This Row],[Fecha de Recibido]],Tabla2[[#This Row],[Fecha MAX de Resp]])</f>
        <v>0</v>
      </c>
      <c r="P516" s="48" t="b">
        <f>EXACT(Tabla2[[#This Row],[Fecha de Recibido]],Tabla2[[#This Row],[Fecha de Resp]])</f>
        <v>0</v>
      </c>
      <c r="Q516" s="45">
        <f>DATE(YEAR(Tabla2[[#This Row],[Fecha de Recibido]]),MONTH(Tabla2[[#This Row],[Fecha de Recibido]]),1)</f>
        <v>44531</v>
      </c>
      <c r="R516" s="45" t="s">
        <v>63</v>
      </c>
    </row>
  </sheetData>
  <phoneticPr fontId="2" type="noConversion"/>
  <conditionalFormatting sqref="C354:C356">
    <cfRule type="duplicateValues" dxfId="81" priority="73"/>
  </conditionalFormatting>
  <conditionalFormatting sqref="D335:E335">
    <cfRule type="duplicateValues" dxfId="80" priority="71"/>
  </conditionalFormatting>
  <conditionalFormatting sqref="O211:P213 O227:P515 O172:P172 O177:P188">
    <cfRule type="cellIs" dxfId="79" priority="47" operator="equal">
      <formula>TRUE</formula>
    </cfRule>
    <cfRule type="cellIs" dxfId="78" priority="48" operator="equal">
      <formula>FALSE</formula>
    </cfRule>
  </conditionalFormatting>
  <conditionalFormatting sqref="O222:P226">
    <cfRule type="cellIs" dxfId="77" priority="45" operator="equal">
      <formula>TRUE</formula>
    </cfRule>
    <cfRule type="cellIs" dxfId="76" priority="46" operator="equal">
      <formula>FALSE</formula>
    </cfRule>
  </conditionalFormatting>
  <conditionalFormatting sqref="O214:P221">
    <cfRule type="cellIs" dxfId="75" priority="43" operator="equal">
      <formula>TRUE</formula>
    </cfRule>
    <cfRule type="cellIs" dxfId="74" priority="44" operator="equal">
      <formula>FALSE</formula>
    </cfRule>
  </conditionalFormatting>
  <conditionalFormatting sqref="O207:P210">
    <cfRule type="cellIs" dxfId="73" priority="41" operator="equal">
      <formula>TRUE</formula>
    </cfRule>
    <cfRule type="cellIs" dxfId="72" priority="42" operator="equal">
      <formula>FALSE</formula>
    </cfRule>
  </conditionalFormatting>
  <conditionalFormatting sqref="O206:P206">
    <cfRule type="cellIs" dxfId="71" priority="39" operator="equal">
      <formula>TRUE</formula>
    </cfRule>
    <cfRule type="cellIs" dxfId="70" priority="40" operator="equal">
      <formula>FALSE</formula>
    </cfRule>
  </conditionalFormatting>
  <conditionalFormatting sqref="O205:P205">
    <cfRule type="cellIs" dxfId="69" priority="37" operator="equal">
      <formula>TRUE</formula>
    </cfRule>
    <cfRule type="cellIs" dxfId="68" priority="38" operator="equal">
      <formula>FALSE</formula>
    </cfRule>
  </conditionalFormatting>
  <conditionalFormatting sqref="O204:P204">
    <cfRule type="cellIs" dxfId="67" priority="35" operator="equal">
      <formula>TRUE</formula>
    </cfRule>
    <cfRule type="cellIs" dxfId="66" priority="36" operator="equal">
      <formula>FALSE</formula>
    </cfRule>
  </conditionalFormatting>
  <conditionalFormatting sqref="O200:P203">
    <cfRule type="cellIs" dxfId="65" priority="33" operator="equal">
      <formula>TRUE</formula>
    </cfRule>
    <cfRule type="cellIs" dxfId="64" priority="34" operator="equal">
      <formula>FALSE</formula>
    </cfRule>
  </conditionalFormatting>
  <conditionalFormatting sqref="O196:P199">
    <cfRule type="cellIs" dxfId="63" priority="31" operator="equal">
      <formula>TRUE</formula>
    </cfRule>
    <cfRule type="cellIs" dxfId="62" priority="32" operator="equal">
      <formula>FALSE</formula>
    </cfRule>
  </conditionalFormatting>
  <conditionalFormatting sqref="C215:C372 C189:C211">
    <cfRule type="duplicateValues" dxfId="61" priority="76"/>
  </conditionalFormatting>
  <conditionalFormatting sqref="O195:P195">
    <cfRule type="cellIs" dxfId="60" priority="29" operator="equal">
      <formula>TRUE</formula>
    </cfRule>
    <cfRule type="cellIs" dxfId="59" priority="30" operator="equal">
      <formula>FALSE</formula>
    </cfRule>
  </conditionalFormatting>
  <conditionalFormatting sqref="O194:P194">
    <cfRule type="cellIs" dxfId="58" priority="27" operator="equal">
      <formula>TRUE</formula>
    </cfRule>
    <cfRule type="cellIs" dxfId="57" priority="28" operator="equal">
      <formula>FALSE</formula>
    </cfRule>
  </conditionalFormatting>
  <conditionalFormatting sqref="O193:P193">
    <cfRule type="cellIs" dxfId="56" priority="25" operator="equal">
      <formula>TRUE</formula>
    </cfRule>
    <cfRule type="cellIs" dxfId="55" priority="26" operator="equal">
      <formula>FALSE</formula>
    </cfRule>
  </conditionalFormatting>
  <conditionalFormatting sqref="O191:P192">
    <cfRule type="cellIs" dxfId="54" priority="23" operator="equal">
      <formula>TRUE</formula>
    </cfRule>
    <cfRule type="cellIs" dxfId="53" priority="24" operator="equal">
      <formula>FALSE</formula>
    </cfRule>
  </conditionalFormatting>
  <conditionalFormatting sqref="O190:P190">
    <cfRule type="cellIs" dxfId="52" priority="19" operator="equal">
      <formula>TRUE</formula>
    </cfRule>
    <cfRule type="cellIs" dxfId="51" priority="20" operator="equal">
      <formula>FALSE</formula>
    </cfRule>
  </conditionalFormatting>
  <conditionalFormatting sqref="O189:P189">
    <cfRule type="cellIs" dxfId="50" priority="15" operator="equal">
      <formula>TRUE</formula>
    </cfRule>
    <cfRule type="cellIs" dxfId="49" priority="16" operator="equal">
      <formula>FALSE</formula>
    </cfRule>
  </conditionalFormatting>
  <conditionalFormatting sqref="O176:P176">
    <cfRule type="cellIs" dxfId="48" priority="11" operator="equal">
      <formula>TRUE</formula>
    </cfRule>
    <cfRule type="cellIs" dxfId="47" priority="12" operator="equal">
      <formula>FALSE</formula>
    </cfRule>
  </conditionalFormatting>
  <conditionalFormatting sqref="O173:P175">
    <cfRule type="cellIs" dxfId="46" priority="9" operator="equal">
      <formula>TRUE</formula>
    </cfRule>
    <cfRule type="cellIs" dxfId="45" priority="10" operator="equal">
      <formula>FALSE</formula>
    </cfRule>
  </conditionalFormatting>
  <conditionalFormatting sqref="O171:P171">
    <cfRule type="cellIs" dxfId="44" priority="7" operator="equal">
      <formula>TRUE</formula>
    </cfRule>
    <cfRule type="cellIs" dxfId="43" priority="8" operator="equal">
      <formula>FALSE</formula>
    </cfRule>
  </conditionalFormatting>
  <conditionalFormatting sqref="O170:P170">
    <cfRule type="cellIs" dxfId="42" priority="3" operator="equal">
      <formula>TRUE</formula>
    </cfRule>
    <cfRule type="cellIs" dxfId="41" priority="4" operator="equal">
      <formula>FALSE</formula>
    </cfRule>
  </conditionalFormatting>
  <conditionalFormatting sqref="O98:P169">
    <cfRule type="cellIs" dxfId="40" priority="1" operator="equal">
      <formula>TRUE</formula>
    </cfRule>
    <cfRule type="cellIs" dxfId="39" priority="2" operator="equal">
      <formula>FALSE</formula>
    </cfRule>
  </conditionalFormatting>
  <dataValidations count="1">
    <dataValidation type="list" allowBlank="1" showInputMessage="1" showErrorMessage="1" sqref="R2:R516" xr:uid="{601DB61A-C4BE-4605-83DD-72A5EDF34877}">
      <formula1>"SI,NO"</formula1>
    </dataValidation>
  </dataValidations>
  <hyperlinks>
    <hyperlink ref="G364" r:id="rId1" xr:uid="{76116B15-C00B-4665-A9B8-4577EF509C3F}"/>
    <hyperlink ref="H352" r:id="rId2" xr:uid="{3731D988-403A-42FF-9292-B325958A3B8A}"/>
    <hyperlink ref="H339" r:id="rId3" xr:uid="{60F4D178-20C6-4FEE-BFF2-EFED60BB63F6}"/>
    <hyperlink ref="H342" r:id="rId4" display="../../../../../:b:/r/sites/GerenciadeRegulacin/Shared Documents/General/2023/Regulaci%C3%B3n/SSPD MARZO/GNCB/Vanti Recuperaci%C3%B3n de saldos acumulados de la Resoluci%C3%B3n CREG 048 _ gncb.pdf?csf=1&amp;web=1&amp;e=1eBrCM" xr:uid="{FEA8A938-A82E-4C6B-88A5-3391EFA8B3F4}"/>
    <hyperlink ref="H341" r:id="rId5" display="../../../../../:b:/r/sites/GerenciadeRegulacin/Shared Documents/General/2023/Regulaci%C3%B3n/SSPD MARZO/GOR/Recuperaci%C3%B3n de saldos acumulados de la Resoluci%C3%B3n CREG 048 _ GOR.pdf?csf=1&amp;web=1&amp;e=rYu6ht" xr:uid="{C7096BE0-ABF0-4F30-8AD5-E207798FD6EA}"/>
    <hyperlink ref="H340" r:id="rId6" display="../../../../../:b:/r/sites/GerenciadeRegulacin/Shared Documents/General/2023/Regulaci%C3%B3n/SSPD MARZO/GNCR/Recuperaci%C3%B3n de saldos acumulados de la Resoluci%C3%B3n CREG 048 _ GNCR.pdf?csf=1&amp;web=1&amp;e=0mdRJn" xr:uid="{423F44BF-7897-4FC8-96C7-F8C5A82EEFF6}"/>
    <hyperlink ref="G336" r:id="rId7" xr:uid="{5AE9EAFB-3FC4-4C79-BA2C-AAB6FC1812A4}"/>
    <hyperlink ref="G333" r:id="rId8" xr:uid="{B2AB31F0-2569-46F1-A75F-5CDA303EBB09}"/>
    <hyperlink ref="H333" r:id="rId9" xr:uid="{795EE4EF-F5EA-43FE-B76D-A74CD965D515}"/>
    <hyperlink ref="H329" r:id="rId10" xr:uid="{98ED928A-D8A5-4A7D-A4A7-631CB6B047F7}"/>
    <hyperlink ref="H369" r:id="rId11" xr:uid="{782F5F2E-115E-4108-A252-4EC1608CC643}"/>
    <hyperlink ref="G329" r:id="rId12" xr:uid="{B5AF815A-D97B-47CA-A3E8-68F26C0BAB27}"/>
    <hyperlink ref="G317" r:id="rId13" xr:uid="{FC61C855-61BF-4266-8B52-79AB386F41C1}"/>
    <hyperlink ref="G316" r:id="rId14" xr:uid="{BEB9DF6E-2427-43D0-BE37-3A302D8DE690}"/>
    <hyperlink ref="G315" r:id="rId15" xr:uid="{5621E5DE-EC26-46FF-A896-85636628D858}"/>
    <hyperlink ref="H314" r:id="rId16" xr:uid="{987B62BE-0276-472D-95F6-2DD434469C96}"/>
    <hyperlink ref="H312" r:id="rId17" xr:uid="{DD8D4000-BE08-41AB-ABA1-462B6F180B73}"/>
    <hyperlink ref="H313" r:id="rId18" xr:uid="{3DA5A4D4-9752-44A7-B20C-A720E56E80A6}"/>
    <hyperlink ref="H311" r:id="rId19" xr:uid="{034B5C3B-0337-44EE-95D4-EDC1AF7402D7}"/>
    <hyperlink ref="G310" r:id="rId20" xr:uid="{F780B937-B96C-4A86-A96C-60AE657F75F3}"/>
    <hyperlink ref="H304" r:id="rId21" display="../../../../../:f:/r/sites/GerenciadeRegulacin/Shared Documents/General/2023/Regulaci%C3%B3n/45_04_2023_Respuesta DP VANTI  9715042-0 Derecho de Petici%C3%B3n CREG E2023002217 (V_28 marzo)?csf=1&amp;web=1&amp;e=gbGqCK" xr:uid="{AD729EE7-8978-4E8C-8C7A-5FF575BA7E2A}"/>
    <hyperlink ref="H321" r:id="rId22" display="../../../../../:f:/r/sites/GerenciadeRegulacin/Shared Documents/General/2023/Regulaci%C3%B3n/45_04_2023_Respuesta DP VANTI  9715042-0 Derecho de Petici%C3%B3n CREG E2023002217 (V_28 marzo)?csf=1&amp;web=1&amp;e=gbGqCK" xr:uid="{54C38F11-9E2B-49CD-A303-16430B965555}"/>
    <hyperlink ref="G327" r:id="rId23" xr:uid="{4D952729-C1EE-4AB3-8A98-AACD1F2F6BFA}"/>
    <hyperlink ref="H433" r:id="rId24" xr:uid="{AEA6B92A-76C0-4A38-94B3-B542079870B2}"/>
    <hyperlink ref="H500" r:id="rId25" xr:uid="{560BDD55-AE98-47D3-B34F-1964509843D9}"/>
    <hyperlink ref="H499" r:id="rId26" xr:uid="{AD217CB1-0247-4C93-9CEE-BC85908D2A6E}"/>
    <hyperlink ref="H498" r:id="rId27" xr:uid="{C21BF67B-7A9F-4FC5-A8B5-F76F440E7CE6}"/>
    <hyperlink ref="H497" r:id="rId28" xr:uid="{E4905C25-6260-4693-B965-11E203A58BFB}"/>
    <hyperlink ref="H496" r:id="rId29" xr:uid="{FFCC03A9-4467-4DAF-AA03-C99A8DEF23E0}"/>
    <hyperlink ref="H384" r:id="rId30" xr:uid="{E5593904-78A2-4850-974A-71C442AAE0E8}"/>
    <hyperlink ref="H502" r:id="rId31" xr:uid="{ABA8AF09-0C47-4671-B6DE-50D65C2868B5}"/>
    <hyperlink ref="H489" r:id="rId32" xr:uid="{ADBB7FFA-0064-4449-A4A0-A28990E2E11A}"/>
    <hyperlink ref="G383" r:id="rId33" xr:uid="{4EE67F89-141F-4DBC-A848-4473719BFD04}"/>
    <hyperlink ref="H377" r:id="rId34" xr:uid="{7855D046-64EB-4852-B47E-8582CF438BC1}"/>
    <hyperlink ref="H483" r:id="rId35" xr:uid="{EA6D57E4-FC85-451F-B0B6-9EF0DC44B0DE}"/>
    <hyperlink ref="H452" r:id="rId36" xr:uid="{7E4D0BEC-79E9-4573-B545-6195809E7F22}"/>
    <hyperlink ref="G394" r:id="rId37" xr:uid="{2CF1DDE9-B413-4D72-9285-49CDB8086D40}"/>
    <hyperlink ref="G306" r:id="rId38" xr:uid="{6473A1DA-03FF-41B0-B101-4A0143928B0F}"/>
    <hyperlink ref="G319" r:id="rId39" xr:uid="{9A9BE6CC-8F50-4DF0-A95E-34052FAC66BF}"/>
    <hyperlink ref="G305" r:id="rId40" xr:uid="{D82744FE-A536-4D4B-9B26-DD07E5DE8057}"/>
    <hyperlink ref="I305" r:id="rId41" xr:uid="{48F7CA0E-4619-4E3D-A3B2-C780D3EF5066}"/>
    <hyperlink ref="H327" r:id="rId42" xr:uid="{AD259C1A-B06D-4C65-B9A3-81944864081F}"/>
    <hyperlink ref="G303" r:id="rId43" xr:uid="{273EBBAD-9C23-48A9-AF12-98E76877F3F2}"/>
    <hyperlink ref="I320" r:id="rId44" xr:uid="{1DF8A502-8037-4DBB-814F-582D70A70CEC}"/>
    <hyperlink ref="G325" r:id="rId45" xr:uid="{60CC518C-3AFC-40A6-8DD2-711A9BA37A0A}"/>
    <hyperlink ref="G300" r:id="rId46" xr:uid="{703E1B46-374A-495A-974C-082C3A96BAF8}"/>
    <hyperlink ref="H303" r:id="rId47" xr:uid="{3B271CE1-2264-4B1F-A9D5-DE11B2111E90}"/>
    <hyperlink ref="G337" r:id="rId48" xr:uid="{988FCF58-0B8F-4A64-A6D5-49F5025F3A8D}"/>
    <hyperlink ref="G326" r:id="rId49" xr:uid="{9A5C8AAA-5731-471C-9E69-AEE560A8119F}"/>
    <hyperlink ref="G304" r:id="rId50" xr:uid="{5834E488-9AAF-4BAA-AD4B-75F13AA2E038}"/>
    <hyperlink ref="H302" r:id="rId51" xr:uid="{84465B59-92AE-4B97-B5EA-79B032659564}"/>
    <hyperlink ref="G302" r:id="rId52" xr:uid="{FF91F828-4A27-4093-A6E1-7DB1EE52F631}"/>
    <hyperlink ref="G299" r:id="rId53" xr:uid="{CB93E16C-8E7F-46A0-9EA3-FE761E947C55}"/>
    <hyperlink ref="I337" r:id="rId54" xr:uid="{A50F966E-0C32-4559-8FA6-9F9301984791}"/>
    <hyperlink ref="G297" r:id="rId55" xr:uid="{50CD0791-57CC-41D0-88D9-D001EEB969CF}"/>
    <hyperlink ref="G295" r:id="rId56" xr:uid="{5BF46C86-0DF5-400B-9B6A-85CDB09428B8}"/>
    <hyperlink ref="H295" r:id="rId57" xr:uid="{A94D6380-C16C-43E5-8C2C-A02D5AAE1DBC}"/>
    <hyperlink ref="I295" r:id="rId58" xr:uid="{0B88D167-2226-4AED-98C9-A2F9758C96AB}"/>
    <hyperlink ref="G307" r:id="rId59" xr:uid="{E37010D1-0EFD-4CC9-9FF7-945E4F25E2D7}"/>
    <hyperlink ref="H305" r:id="rId60" xr:uid="{07719ADB-788A-4F18-924F-651D8FCD8050}"/>
    <hyperlink ref="G296" r:id="rId61" xr:uid="{EE0B70BE-7C6E-4980-A7E7-163DE2578807}"/>
    <hyperlink ref="H296" r:id="rId62" xr:uid="{C648DE03-D7C4-4A96-B964-F8621557E40B}"/>
    <hyperlink ref="H325" r:id="rId63" xr:uid="{45F2F2A2-A9DD-45AA-B49F-7C54F2050BD5}"/>
    <hyperlink ref="I325" r:id="rId64" xr:uid="{C90FDD47-F136-4481-AE7A-7E5212F46337}"/>
    <hyperlink ref="I307" r:id="rId65" xr:uid="{8E82C607-F190-40F7-801D-78314E751CEA}"/>
    <hyperlink ref="G294" r:id="rId66" xr:uid="{6AAB94B6-513E-49FE-B89F-71967BE8BED6}"/>
    <hyperlink ref="I294" r:id="rId67" xr:uid="{A7ED2BEF-A484-48BB-9363-2CC688EE5D25}"/>
    <hyperlink ref="G298" r:id="rId68" xr:uid="{90F70680-A706-43C3-A88E-8EEEF9E9AFFA}"/>
    <hyperlink ref="I328" r:id="rId69" xr:uid="{1BE5902E-7DBA-4C51-A289-AA1E013536D5}"/>
    <hyperlink ref="H328" r:id="rId70" xr:uid="{47470C95-906E-4326-B6E9-1753ACB35627}"/>
    <hyperlink ref="G290" r:id="rId71" xr:uid="{762F4CA5-6A9C-4807-94F1-E70B9AB36796}"/>
    <hyperlink ref="G289" r:id="rId72" xr:uid="{9C6F9A57-6AD7-4D3D-9528-54ACC12FDB89}"/>
    <hyperlink ref="I289" r:id="rId73" xr:uid="{3DAE9477-8109-4642-8C39-FCB4E0504AA0}"/>
    <hyperlink ref="I290" r:id="rId74" xr:uid="{7F51AB1A-F074-47A6-8AD5-9CBAFDB37DD5}"/>
    <hyperlink ref="G288" r:id="rId75" xr:uid="{D7B8810F-26FD-405F-9B6E-4D330E50EC25}"/>
    <hyperlink ref="I288" r:id="rId76" xr:uid="{8AE27FDD-85BB-427E-872E-2723B55A3277}"/>
    <hyperlink ref="H298" r:id="rId77" xr:uid="{48A8DFA0-39AF-43D2-AA72-EF64AE25ACD5}"/>
    <hyperlink ref="I298" r:id="rId78" xr:uid="{3358117B-51B8-4EE7-9013-DF822BFF49B5}"/>
    <hyperlink ref="G286" r:id="rId79" xr:uid="{CCA78795-098A-40C6-8019-2D185B646D56}"/>
    <hyperlink ref="G285" r:id="rId80" xr:uid="{836419B0-FBC9-44C9-AA7E-1821E243F539}"/>
    <hyperlink ref="G291" r:id="rId81" xr:uid="{99E076AC-38EB-4131-9933-98B090D2C047}"/>
    <hyperlink ref="I287" r:id="rId82" xr:uid="{E037BA10-5C68-48DA-B600-8E0C38686AF3}"/>
    <hyperlink ref="I286" r:id="rId83" xr:uid="{E7B434B2-454B-4493-B75A-F32D0A412B4B}"/>
    <hyperlink ref="I285" r:id="rId84" xr:uid="{DB45213A-59FF-47B8-BE58-8A9C2DA09018}"/>
    <hyperlink ref="G287" r:id="rId85" xr:uid="{359D4219-FEF8-456C-A02B-D8C7177CA021}"/>
    <hyperlink ref="G284" r:id="rId86" xr:uid="{A3C5618F-B566-47EA-A58B-710972ACA686}"/>
    <hyperlink ref="I284" r:id="rId87" xr:uid="{CC326D31-7EA7-4F22-9BFC-7E8D2BAC56C0}"/>
    <hyperlink ref="H383" r:id="rId88" xr:uid="{4F055CA2-5B5E-42FA-ACB9-5539D09B7A64}"/>
    <hyperlink ref="H294" r:id="rId89" xr:uid="{6B86088B-B834-43CF-B172-68D0AD9A947D}"/>
    <hyperlink ref="G320" r:id="rId90" xr:uid="{0EA93220-E2DD-42E5-93AE-1699B5465804}"/>
    <hyperlink ref="G283" r:id="rId91" xr:uid="{4248C374-A238-4338-90DB-8E36CAFD700A}"/>
    <hyperlink ref="H320" r:id="rId92" xr:uid="{E7655BCD-3ABC-49B7-9CCC-BC9EF2CF86F0}"/>
    <hyperlink ref="I322" r:id="rId93" xr:uid="{BB96DDA1-B664-42A7-8E1F-8240B50F3D25}"/>
    <hyperlink ref="H322" r:id="rId94" display="../../../../../:b:/r/sites/GerenciadeRegulacin/Shared Documents/General/2023/Regulaci%C3%B3n/34_04_23_Transmetano_Comunicaci%C3%B3n CREG- Solicitud Acceso Expediente Transmetano - 11-04-2023_JR/34_05_2023_RTA_CREG_S2023002571.pdf?csf=1&amp;web=1&amp;e=sGBPt2" xr:uid="{080D8B63-7C60-483E-B65E-77AF64C35B66}"/>
    <hyperlink ref="I324" r:id="rId95" xr:uid="{990C4E5A-CDB8-4FEA-B0F1-644A57B4FEB3}"/>
    <hyperlink ref="H324" r:id="rId96" xr:uid="{36C50F01-6407-4286-A36E-B9DDD3B68DFA}"/>
    <hyperlink ref="I323" r:id="rId97" xr:uid="{06283454-871E-42EE-9B8E-2618CA02E6AC}"/>
    <hyperlink ref="H287" r:id="rId98" xr:uid="{76041C53-F1D3-439A-8114-C78ED8F25C18}"/>
    <hyperlink ref="G282" r:id="rId99" xr:uid="{6D3B7C95-2A82-44BA-9358-B64C5E1AA498}"/>
    <hyperlink ref="I282" r:id="rId100" xr:uid="{54076C36-02D9-40B2-896F-F6BA93BD41A0}"/>
    <hyperlink ref="H285" r:id="rId101" xr:uid="{CF368B3F-2CBB-4BFE-ABD1-67F842D3EE20}"/>
    <hyperlink ref="H286" r:id="rId102" xr:uid="{E94B83C6-CBFB-4607-91C9-14E5F573856C}"/>
    <hyperlink ref="G357" r:id="rId103" xr:uid="{4C48839A-FFD8-48AF-A854-7536238F3505}"/>
    <hyperlink ref="G281" r:id="rId104" xr:uid="{8CE6E57C-87F5-43C2-9C33-A8AF290F7C9E}"/>
    <hyperlink ref="I281" r:id="rId105" xr:uid="{05B78C6F-CD68-436E-9A22-6CD9CFA1AE1C}"/>
    <hyperlink ref="H323" r:id="rId106" xr:uid="{02D06F46-856F-4146-9400-7929B765BCD9}"/>
    <hyperlink ref="G323" r:id="rId107" xr:uid="{2518BE41-F8BF-47F8-8226-20431FD5280A}"/>
    <hyperlink ref="H290" r:id="rId108" display="https://grupovanti.sharepoint.com/:u:/r/sites/GerenciadeRegulacin/Shared%20Documents/General/2023/Regulaci%C3%B3n/66_05_2023_BANCOLOMBIA_GAS%20NATURAL%20S.A.%20%20E.S.P/66_05_2023_RE%20SOLICITUD%20PROCEDIMIENTO%20PARA%20EL%20MANEJO%20DE%20TITULOS%20NO%20LISTADOS%20EN%20EL%20RNVE.msg?csf=1&amp;web=1&amp;e=fIf9rT" xr:uid="{655A37D1-CCEE-4962-A193-790B6225F10C}"/>
    <hyperlink ref="G280" r:id="rId109" xr:uid="{7217E763-B049-456C-8568-A574C628EC83}"/>
    <hyperlink ref="G277" r:id="rId110" xr:uid="{F06D0AF7-EAF6-4CE0-A430-7A8E9B97C6E5}"/>
    <hyperlink ref="G275" r:id="rId111" xr:uid="{A2EA24C3-540A-4060-90F8-E61D483078E3}"/>
    <hyperlink ref="G276" r:id="rId112" xr:uid="{04C75010-6314-42F4-B211-522E06BCCE21}"/>
    <hyperlink ref="G330" r:id="rId113" xr:uid="{1EE4B3C0-D1F6-4764-8275-E4A6149FBA26}"/>
    <hyperlink ref="I330" r:id="rId114" xr:uid="{77D3823C-069F-4A2D-BD5C-4F42EC8A5A04}"/>
    <hyperlink ref="H280" r:id="rId115" xr:uid="{3319FB34-3BB7-4248-A05B-71EF3B149825}"/>
    <hyperlink ref="G279" r:id="rId116" xr:uid="{984A2ADE-D32E-4CD8-BB16-8FFEE4F4FCD1}"/>
    <hyperlink ref="G278" r:id="rId117" xr:uid="{C747E38E-218A-48CF-89A9-E9E99B7D8F18}"/>
    <hyperlink ref="G274" r:id="rId118" xr:uid="{AEA01652-4D65-4DE3-999B-C284274F639F}"/>
    <hyperlink ref="I279" r:id="rId119" xr:uid="{B8DF63BF-F306-4063-AAAF-1F16E784390B}"/>
    <hyperlink ref="I278" r:id="rId120" xr:uid="{4D68055F-360D-4BCC-94E5-E7C9FAD988F5}"/>
    <hyperlink ref="I280" r:id="rId121" xr:uid="{E90A6C6D-2F37-48F8-8DBB-D10EE47CDD37}"/>
    <hyperlink ref="H310" r:id="rId122" xr:uid="{B92011F9-F911-4FF4-A551-482D0C0E52A0}"/>
    <hyperlink ref="H284" r:id="rId123" xr:uid="{F6D62E60-3909-4707-ACA5-007487E28439}"/>
    <hyperlink ref="H283" r:id="rId124" xr:uid="{C73A34C5-2934-41B6-887E-A3DDAA76D308}"/>
    <hyperlink ref="G346" r:id="rId125" xr:uid="{0CED72B2-2088-4F2F-897A-A11C1305E00A}"/>
    <hyperlink ref="H346" r:id="rId126" xr:uid="{B527DB09-59D0-463A-A830-037853C27D2E}"/>
    <hyperlink ref="I346" r:id="rId127" xr:uid="{50B4B5DA-9377-40F7-822D-86C5E520A424}"/>
    <hyperlink ref="H275" r:id="rId128" xr:uid="{FE43AB6F-55E8-402D-9970-2CB0DBB8727C}"/>
    <hyperlink ref="G273" r:id="rId129" xr:uid="{1B4ABE88-98B4-4F8F-A3B6-8DA378740D82}"/>
    <hyperlink ref="I276" r:id="rId130" xr:uid="{D8336674-798E-4FD5-B430-E28588E0295A}"/>
    <hyperlink ref="I273" r:id="rId131" xr:uid="{6DBC4AA1-8BE7-4254-9CAF-2CD4F716DAA2}"/>
    <hyperlink ref="I274" r:id="rId132" xr:uid="{56707AFA-0FC9-447B-9FBD-BB814F27EA79}"/>
    <hyperlink ref="G272" r:id="rId133" xr:uid="{C0E32734-F1FC-40F7-BA74-3D8319A94E45}"/>
    <hyperlink ref="H301" r:id="rId134" xr:uid="{6570E947-67D2-4A9B-983D-7F439D4AEE2B}"/>
    <hyperlink ref="I301" r:id="rId135" xr:uid="{6C027467-306E-474C-89A0-3B891D4DCFFD}"/>
    <hyperlink ref="H351" r:id="rId136" xr:uid="{518729B6-5700-4A1D-8CE3-5FC56F92640A}"/>
    <hyperlink ref="I319" r:id="rId137" xr:uid="{1853D007-C7AE-4B4B-B602-35574790308E}"/>
    <hyperlink ref="G321" r:id="rId138" xr:uid="{21E06AE0-5BF8-409A-9DC2-C5517F357B42}"/>
    <hyperlink ref="I321" r:id="rId139" xr:uid="{2FABCB27-77D1-47EF-84BF-C94A652400F5}"/>
    <hyperlink ref="G322" r:id="rId140" xr:uid="{66AD03BD-4384-43EE-A868-88932810310C}"/>
    <hyperlink ref="G324" r:id="rId141" xr:uid="{7474FAE8-75A1-4F92-85CB-755F6AD8DD71}"/>
    <hyperlink ref="I326" r:id="rId142" xr:uid="{31042373-FE89-4CD6-ABBC-EF478B40AFF8}"/>
    <hyperlink ref="H331" r:id="rId143" xr:uid="{C3AE73A1-0B7F-4E0C-87E5-8324859D4E47}"/>
    <hyperlink ref="G332" r:id="rId144" xr:uid="{365F57B1-D180-4937-A009-8FDF6799651D}"/>
    <hyperlink ref="H338" r:id="rId145" xr:uid="{C3759569-678F-4B02-9050-F560851E01E8}"/>
    <hyperlink ref="H274" r:id="rId146" xr:uid="{865A3303-12A1-4349-A15D-33CC63A51BC5}"/>
    <hyperlink ref="G293" r:id="rId147" xr:uid="{D701D066-02A6-44ED-B3F0-D6512D202C27}"/>
    <hyperlink ref="G270" r:id="rId148" xr:uid="{85BE9CDE-4924-4466-BF71-3A265112167A}"/>
    <hyperlink ref="G271" r:id="rId149" xr:uid="{8EF20D8A-EA78-4AC4-8303-948996AB0521}"/>
    <hyperlink ref="I271" r:id="rId150" xr:uid="{CAEF7E5B-2124-4402-84A1-7736B6073547}"/>
    <hyperlink ref="G269" r:id="rId151" xr:uid="{B2847B86-25EE-48EF-B611-9EDE8C482617}"/>
    <hyperlink ref="I269" r:id="rId152" xr:uid="{6B08278D-0B3E-4BB1-B28D-C14256A777FD}"/>
    <hyperlink ref="G370" r:id="rId153" xr:uid="{D9FF5DF2-9794-459D-968A-6659D6C0AFFB}"/>
    <hyperlink ref="G318" r:id="rId154" xr:uid="{F906257E-B715-480D-A88A-F770F843EEE6}"/>
    <hyperlink ref="H362" r:id="rId155" display="../../../../../:b:/r/sites/GerenciadeRegulacin/Shared Documents/General/2023/Regulaci%C3%B3n/12_01_2023_CREG Reporte Activos 2022_Vanti/12_01_2023_CREG Reporte Activos 2022_Vanti.pdf?csf=1&amp;web=1&amp;e=ntW6Y7" xr:uid="{BF3C2482-27F5-42AC-A237-41C527E5D065}"/>
    <hyperlink ref="H361" r:id="rId156" display="../../../../../:b:/r/sites/GerenciadeRegulacin/Shared Documents/General/2023/Regulaci%C3%B3n/15_01_2023_CREG Reporte Activos 2022_Gasnacer/15_01_2023_CREG Reporte Activos 2022_Gasnacer.pdf?csf=1&amp;web=1&amp;e=9eDtg0" xr:uid="{9C0A41F4-1795-487E-9437-D9416AAB7729}"/>
    <hyperlink ref="H360" r:id="rId157" xr:uid="{E7BB1DC9-ADD2-4181-B11D-B11EDC363B1C}"/>
    <hyperlink ref="H359" r:id="rId158" xr:uid="{46A1F4E9-FED6-4B8C-AC22-845BE95C5BBD}"/>
    <hyperlink ref="G262" r:id="rId159" xr:uid="{E9FBDBFF-C69E-4AE0-B5AB-92CFDE0BF5CB}"/>
    <hyperlink ref="G263" r:id="rId160" xr:uid="{8E3233A6-2699-4B99-8BBA-DF8D46F0FA6D}"/>
    <hyperlink ref="G258" r:id="rId161" xr:uid="{FCFD0119-A3D0-4E4E-BA55-498653C6A281}"/>
    <hyperlink ref="I258" r:id="rId162" xr:uid="{09D8731C-939A-4576-9ABF-F6B7F2C72043}"/>
    <hyperlink ref="G259" r:id="rId163" display="114_07_2023_KPMG GRUPO VANTI_Cierre del informe de Auditoría Externa de Gestión y Resultados año 2022" xr:uid="{F888935C-3EB0-4AD3-AA26-4FA5A67E58EF}"/>
    <hyperlink ref="G261" r:id="rId164" xr:uid="{204FCEB4-39DA-4B1C-953D-946044A4808D}"/>
    <hyperlink ref="I261" r:id="rId165" xr:uid="{A74381F4-8796-47B4-B61B-BEA7B0A726B2}"/>
    <hyperlink ref="G257" r:id="rId166" xr:uid="{21582AC6-8AFA-4087-98FF-08E2321DE7AD}"/>
    <hyperlink ref="G260" r:id="rId167" xr:uid="{BEB88DCE-5951-4892-BF16-A47DE2F20A05}"/>
    <hyperlink ref="I260" r:id="rId168" xr:uid="{FE84E623-5CEA-42AC-832F-487EBE17DF3C}"/>
    <hyperlink ref="H258" r:id="rId169" xr:uid="{17D32C03-F14A-449C-9CF8-A806B2EB49D8}"/>
    <hyperlink ref="G255" r:id="rId170" xr:uid="{A300AF69-0FA1-4E5B-AF46-5EC96D0252AB}"/>
    <hyperlink ref="G254" r:id="rId171" xr:uid="{563403A0-1208-40FE-9EB9-CD2E239F97ED}"/>
    <hyperlink ref="H254" r:id="rId172" xr:uid="{5DE2C297-FF9E-43BD-ADF8-F2DB0B269D8B}"/>
    <hyperlink ref="G248" r:id="rId173" xr:uid="{8E505677-1855-4097-9CC3-2A0208D60FD7}"/>
    <hyperlink ref="G268" r:id="rId174" xr:uid="{969E2DA5-D308-41B8-AF3D-638F4DA7E552}"/>
    <hyperlink ref="G253" r:id="rId175" display="https://grupovanti.sharepoint.com/:b:/r/sites/GerenciadeRegulacin/Shared%20Documents/General/2023/Regulaci%C3%B3n/130_07_2023_CONSEJO%20BOGOTA_Respuesta%20derecho%20de%20peticion_/Respuesta%20Solicitud%20del%20consejo%20Bogot%C3%A1%2010%20de%20julio%20de%202023%20(004).pdf?csf=1&amp;web=1&amp;e=sRWomd" xr:uid="{1FFA3B2B-8D38-4693-B9CC-BCCA7ECEA9E3}"/>
    <hyperlink ref="G250" r:id="rId176" display="https://grupovanti.sharepoint.com/:b:/r/sites/GerenciadeRegulacin/Shared%20Documents/General/2023/Regulaci%C3%B3n/131_07_2023_MME_Comentarios%20Modificacion%20Decreto/Decreto%20Mecanismo%20Diferencial%20de%20Estabilizacio%CC%81n%20de%20precios%20de%20la%20Gasolina%20Motor%20Corriente%20(GMC)%20y%20Aceite%20Combustible%20para%20Motores%20(ACPM).pdf?csf=1&amp;web=1&amp;e=dnaVwG" xr:uid="{5990F716-C240-444F-8A35-0A625D05C671}"/>
    <hyperlink ref="G238" r:id="rId177" xr:uid="{C8D5F5C6-342A-49FA-9591-F082523214C8}"/>
    <hyperlink ref="H250" r:id="rId178" display="https://grupovanti.sharepoint.com/:b:/r/sites/GerenciadeRegulacin/Shared%20Documents/General/2023/Regulaci%C3%B3n/131_07_2023_MME_Comentarios%20Modificacion%20Decreto/Decreto%20Mecanismo%20Diferencial%20de%20Estabilizacio%CC%81n%20de%20precios%20de%20la%20Gasolina%20Motor%20Corriente%20(GMC)%20y%20Aceite%20Combustible%20para%20Motores%20(ACPM).pdf?csf=1&amp;web=1&amp;e=dnaVwG" xr:uid="{DFDAFDA3-C054-4841-9DED-48F276503BBA}"/>
    <hyperlink ref="G252" r:id="rId179" display="https://grupovanti.sharepoint.com/:b:/r/sites/GerenciadeRegulacin/Shared%20Documents/General/2023/Regulaci%C3%B3n/135_01_2023_SSPD_ComentariosTarifaCE10154500/135-08-2023%20Comentarios%20proyecto%20Resol.%20%20tarifa%20contribuci%C3%B3n%20especial%202023-%20SSPD.pdf?csf=1&amp;web=1&amp;e=muSNvz" xr:uid="{D5C9BD3B-3D56-4E7D-8C09-D5E3E47DE02B}"/>
    <hyperlink ref="H252" r:id="rId180" display="https://grupovanti.sharepoint.com/:b:/r/sites/GerenciadeRegulacin/Shared%20Documents/General/2023/Regulaci%C3%B3n/135_01_2023_SSPD_ComentariosTarifaCE10154500/135-08-2023%20Comentarios%20proyecto%20Resol.%20%20tarifa%20contribuci%C3%B3n%20especial%202023-%20SSPD.pdf?csf=1&amp;web=1&amp;e=muSNvz" xr:uid="{72D0D7AA-4501-494C-A450-87AB4F3997B6}"/>
    <hyperlink ref="I238" r:id="rId181" xr:uid="{4A1554FE-2737-4E6C-BA42-C1628D8D707E}"/>
    <hyperlink ref="I251" r:id="rId182" xr:uid="{5F5C9E75-00E2-46D0-83FD-43B15B48A25D}"/>
    <hyperlink ref="I253" r:id="rId183" xr:uid="{3E3389A4-88D6-493A-BD86-68CC88B36955}"/>
    <hyperlink ref="I248" r:id="rId184" xr:uid="{E70BFE57-3F85-4C71-844A-5189E5992CEB}"/>
    <hyperlink ref="H253" r:id="rId185" display="https://grupovanti.sharepoint.com/:b:/r/sites/GerenciadeRegulacin/Shared%20Documents/General/2023/Regulaci%C3%B3n/130_07_2023_CONSEJO%20BOGOTA_Respuesta%20derecho%20de%20peticion_/Respuesta%20Solicitud%20del%20consejo%20Bogot%C3%A1%2010%20de%20julio%20de%202023%20(004).pdf?csf=1&amp;web=1&amp;e=sRWomd" xr:uid="{BD4F0182-901D-4044-90E8-E3C3AAF82181}"/>
    <hyperlink ref="G363" r:id="rId186" xr:uid="{B860380A-4616-47C0-906B-06714CEFD484}"/>
    <hyperlink ref="G243" r:id="rId187" display="https://grupovanti.sharepoint.com/:b:/r/sites/GerenciadeRegulacin/Shared%20Documents/General/2023/Regulaci%C3%B3n/134_08_2023_SSPD_HONORABLES_SENADORES/GOR/Respuesta%2010831315%20-%200%20Contestaci%C3%B3n%20Radicado%20a%20citar%2020232312595781%20GOR%20SSPD%20(V3).pdf?csf=1&amp;web=1&amp;e=VylzTA" xr:uid="{A242462F-63AC-4973-BC0A-32FA441B96C4}"/>
    <hyperlink ref="H243" r:id="rId188" display="https://grupovanti.sharepoint.com/:b:/r/sites/GerenciadeRegulacin/Shared%20Documents/General/2023/Regulaci%C3%B3n/134_08_2023_SSPD_HONORABLES_SENADORES/GOR/Respuesta%2010831315%20-%200%20Contestaci%C3%B3n%20Radicado%20a%20citar%2020232312595781%20GOR%20SSPD%20(V3).pdf?csf=1&amp;web=1&amp;e=VylzTA" xr:uid="{8BC7DF38-6363-4CDD-9A59-494632BEBD30}"/>
    <hyperlink ref="I243" r:id="rId189" xr:uid="{CC02D9D7-91D4-464D-B820-37BF3899F822}"/>
    <hyperlink ref="G242" r:id="rId190" display="https://grupovanti.sharepoint.com/:b:/r/sites/GerenciadeRegulacin/Shared%20Documents/General/2023/Regulaci%C3%B3n/134_08_2023_SSPD_HONORABLES_SENADORES/GNCR/Respuesta%2010831575%20-%200%20Contestaci%C3%B3n%20Radicado%20a%20citar%2020232312595591%20GNC%20SSPD%20(V3).pdf?csf=1&amp;web=1&amp;e=mYOQX5" xr:uid="{87842B67-548E-444C-AA9C-8AEFBA2DB85E}"/>
    <hyperlink ref="I242" r:id="rId191" xr:uid="{FE1ED69F-8AFA-4DD4-9A72-FBEEBB82B560}"/>
    <hyperlink ref="G244" r:id="rId192" display="https://grupovanti.sharepoint.com/:b:/r/sites/GerenciadeRegulacin/Shared%20Documents/General/2023/Regulaci%C3%B3n/134_08_2023_SSPD_HONORABLES_SENADORES/GNCB/Respuesta%2010830107%20-%200%20Contestaci%C3%B3n%20Radicado%20a%20citar%2020232312595711%20GNCB%20SSPD%20(V3).pdf?csf=1&amp;web=1&amp;e=ZxWr96" xr:uid="{B03B1A1B-0F3D-47D7-B8DF-03AB96626462}"/>
    <hyperlink ref="I244" r:id="rId193" xr:uid="{6A76BFDB-F66D-41FF-B107-777D44358A3A}"/>
    <hyperlink ref="I240" r:id="rId194" xr:uid="{B5A34E94-292C-4895-9C51-25C6C567C8DE}"/>
    <hyperlink ref="H240" r:id="rId195" display="https://grupovanti.sharepoint.com/:b:/r/sites/GerenciadeRegulacin/Shared%20Documents/General/2023/Regulaci%C3%B3n/140_08_2023_MME_FondoSolidaridadValidaci%C3%B3nFSSRIGAS/Respuesta%2010954269%20-%200%20Contestaci%C3%B3n%20Radicado%20a%20citar%2020232312595511%20VANTI%20SSPD%20(V1).pdf?csf=1&amp;web=1&amp;e=bD4dKa" xr:uid="{7949F5C0-106C-41E4-8569-312CE470D714}"/>
    <hyperlink ref="G240" r:id="rId196" display="https://grupovanti.sharepoint.com/:b:/r/sites/GerenciadeRegulacin/Shared%20Documents/General/2023/Regulaci%C3%B3n/140_08_2023_MME_FondoSolidaridadValidaci%C3%B3nFSSRIGAS/Respuesta%2010954269%20-%200%20Contestaci%C3%B3n%20Radicado%20a%20citar%2020232312595511%20VANTI%20SSPD%20(V1).pdf?csf=1&amp;web=1&amp;e=bD4dKa" xr:uid="{1B904CCD-3FC2-4C8B-B924-4156C9B3F3CE}"/>
    <hyperlink ref="G368" r:id="rId197" xr:uid="{0C54504D-4571-429E-94C2-B46D3D6D3442}"/>
    <hyperlink ref="G367" r:id="rId198" xr:uid="{53AE2861-A115-4C9C-9469-FDEB07443FC3}"/>
    <hyperlink ref="G403" r:id="rId199" display="https://grupovanti.sharepoint.com/:b:/r/sites/GerenciadeRegulacin/Shared%20Documents/General/2023/Regulaci%C3%B3n/10-01-2023%20%20Tercero%20interesado%20actuaci%C3%B3n%20administrativa%20%20Promigas%20S.A.%20E.S.P/2.%20Solicitud%20reconocimiento%20tercero%20Vanti%20-%20Promigas%20-10-01-2022.pdf?csf=1&amp;web=1&amp;e=gnhaxT" xr:uid="{8A3B9AF7-3598-47CC-B354-4C1B1ADCC660}"/>
    <hyperlink ref="G356" r:id="rId200" xr:uid="{8C779614-34FF-4CEB-98F7-A9F8DAE1BD6E}"/>
    <hyperlink ref="G355" r:id="rId201" xr:uid="{BF9E8D1E-A898-41F0-80A2-F6B36A712559}"/>
    <hyperlink ref="G353" r:id="rId202" xr:uid="{4CA739E0-0DB6-41F3-9FCA-3288A0C5219C}"/>
    <hyperlink ref="H347" r:id="rId203" display="https://grupovanti.sharepoint.com/:f:/r/sites/GerenciadeRegulacin/Shared%20Documents/General/2023/Regulaci%C3%B3n/29_03_2023_GNCR-Respuesta%20Requerimiento%20de%20informaci%C3%B3n%20sobre%20la%20Revisi%C3%B3n%20Peri%C3%B3dica%20Obligatoria?csf=1&amp;web=1&amp;e=kPyTNz" xr:uid="{05B3EB01-B3DC-4EC9-97F1-1D4218A8D0D5}"/>
    <hyperlink ref="I347" r:id="rId204" display="https://grupovanti.sharepoint.com/:f:/r/sites/GerenciadeRegulacin/Shared%20Documents/General/2023/Regulaci%C3%B3n/29_03_2023_GNCR-Respuesta%20Requerimiento%20de%20informaci%C3%B3n%20sobre%20la%20Revisi%C3%B3n%20Peri%C3%B3dica%20Obligatoria?csf=1&amp;web=1&amp;e=kPyTNz" xr:uid="{054A056B-E444-472E-BA1C-965D52364F13}"/>
    <hyperlink ref="I349" r:id="rId205" display="https://grupovanti.sharepoint.com/:f:/r/sites/GerenciadeRegulacin/Shared%20Documents/General/2023/Regulaci%C3%B3n/31_03_2023_GNCB-Respuesta%20Requerimiento%20de%20informaci%C3%B3n%20sobre%20la%20Revisi%C3%B3n%20Peri%C3%B3dica%20Obligatoria?csf=1&amp;web=1&amp;e=BFvgCB" xr:uid="{07B7A416-E674-4C15-9770-5B0CE09CBB6A}"/>
    <hyperlink ref="H349" r:id="rId206" display="https://grupovanti.sharepoint.com/:b:/r/sites/GerenciadeRegulacin/Shared%20Documents/General/2023/Regulaci%C3%B3n/27_03_2023_VANTI-Respuesta%20Requerimiento%20de%20informaci%C3%B3n%20sobre%20la%20Revisi%C3%B3n%20Peri%C3%B3dica%20Obligatoria/027-%20Respuesta%20requerimiento%20Informaci%C3%B3n%20RPO%202022_Vanti.pdf?csf=1&amp;web=1&amp;e=jC5wNH" xr:uid="{8814C1EF-D7DC-45DD-86A2-841759CCC648}"/>
    <hyperlink ref="H350" r:id="rId207" display="https://grupovanti.sharepoint.com/:b:/r/sites/GerenciadeRegulacin/Shared%20Documents/General/2023/Regulaci%C3%B3n/30_03_2023_GOR-Respuesta%20Requerimiento%20de%20informaci%C3%B3n%20sobre%20la%20Revisi%C3%B3n%20Peri%C3%B3dica%20Obligatoria/030-%20Respuesta%20requerimiento%20Informaci%C3%B3n%20RPO%202022_Gasoriente.pdf?csf=1&amp;web=1&amp;e=MhcNYs" xr:uid="{FDEDC51C-75FD-4856-943C-CB28C0947F2E}"/>
    <hyperlink ref="I350" r:id="rId208" display="https://grupovanti.sharepoint.com/:f:/r/sites/GerenciadeRegulacin/Shared%20Documents/General/2023/Regulaci%C3%B3n/30_03_2023_GOR-Respuesta%20Requerimiento%20de%20informaci%C3%B3n%20sobre%20la%20Revisi%C3%B3n%20Peri%C3%B3dica%20Obligatoria?csf=1&amp;web=1&amp;e=72hfUE" xr:uid="{66FFE645-B6B4-4A51-91B4-FB7CE4DDEC3B}"/>
    <hyperlink ref="I348" r:id="rId209" display="https://grupovanti.sharepoint.com/:b:/r/sites/GerenciadeRegulacin/Shared%20Documents/General/2023/Regulaci%C3%B3n/31_03_2023_GNCB-Respuesta%20Requerimiento%20de%20informaci%C3%B3n%20sobre%20la%20Revisi%C3%B3n%20Peri%C3%B3dica%20Obligatoria/028-%20Respuesta%20requerimiento%20Informaci%C3%B3n%20RPO%202022_cundi.pdf?csf=1&amp;web=1&amp;e=2ttvfu" xr:uid="{37A631FD-72B4-42FE-A539-F58055538173}"/>
    <hyperlink ref="H348" r:id="rId210" display="https://grupovanti.sharepoint.com/:b:/r/sites/GerenciadeRegulacin/Shared%20Documents/General/2023/Regulaci%C3%B3n/31_03_2023_GNCB-Respuesta%20Requerimiento%20de%20informaci%C3%B3n%20sobre%20la%20Revisi%C3%B3n%20Peri%C3%B3dica%20Obligatoria/028-%20Respuesta%20requerimiento%20Informaci%C3%B3n%20RPO%202022_cundi.pdf?csf=1&amp;web=1&amp;e=2ttvfu" xr:uid="{F41B132B-8C4E-4237-81B9-0FD32CAD6F84}"/>
    <hyperlink ref="H343" r:id="rId211" xr:uid="{2D75CD93-4262-4882-B8E7-615B8002C8FE}"/>
    <hyperlink ref="G343" r:id="rId212" display="https://grupovanti.sharepoint.com/:b:/r/sites/GerenciadeRegulacin/Shared%20Documents/General/2023/Regulaci%C3%B3n/26_03_2023_Saldos%20hisotircos%20y%20tarifas/GNCB%20Recuperaci%C3%B3n%20de%20saldos%20acumulados%20de%20la%20Resoluci%C3%B3n%20CREG%20048.pdf?csf=1&amp;web=1&amp;e=rGdutw" xr:uid="{B9515B61-AC2C-4166-80D0-52A12027A3F1}"/>
    <hyperlink ref="G236" r:id="rId213" xr:uid="{934991BE-C079-401D-BF01-73911E99DB98}"/>
    <hyperlink ref="G234" r:id="rId214" display="https://grupovanti.sharepoint.com/:w:/r/sites/GerenciadeRegulacin/Shared%20Documents/General/2023/Regulaci%C3%B3n/143_08_2023_Requerimiento%20de%20informaci%C3%B3n%20tarifaria%20periodo%20junio%202023,%20copia%20de%20las%20facturas/143-Respuesta%20SSPD%20Radicado%2020232312522141%20.docx?d=w76e111d006f949228d4f296c6e0e55b6&amp;csf=1&amp;web=1&amp;e=2dfgEy" xr:uid="{BEC5D415-586F-499D-B5BE-A8D02AC5B527}"/>
    <hyperlink ref="H234" r:id="rId215" display="https://grupovanti.sharepoint.com/:w:/r/sites/GerenciadeRegulacin/Shared%20Documents/General/2023/Regulaci%C3%B3n/143_08_2023_Requerimiento%20de%20informaci%C3%B3n%20tarifaria%20periodo%20junio%202023,%20copia%20de%20las%20facturas/143-Respuesta%20SSPD%20Radicado%2020232312522141%20.docx?d=w76e111d006f949228d4f296c6e0e55b6&amp;csf=1&amp;web=1&amp;e=2dfgEy" xr:uid="{C6642D8A-4EAA-434E-9DFD-E7156A7C8CAF}"/>
    <hyperlink ref="I234" r:id="rId216" xr:uid="{184EAE06-5F8F-4C6D-B99E-C9379F84CC69}"/>
    <hyperlink ref="H241" r:id="rId217" display="https://grupovanti.sharepoint.com/:b:/r/sites/GerenciadeRegulacin/Shared%20Documents/General/2023/Regulaci%C3%B3n/134_08_2023_SSPD_HONORABLES_SENADORES/VANTI/Respuesta%2010954269%20-%200%20Contestaci%C3%B3n%20Radicado%20a%20citar%2020232312595511%20VANTI%20SSPD%20(V1).pdf?csf=1&amp;web=1&amp;e=P688dL" xr:uid="{EAD6A1CB-2560-4446-9225-F4A79C7DDC78}"/>
    <hyperlink ref="G241" r:id="rId218" display="https://grupovanti.sharepoint.com/:b:/r/sites/GerenciadeRegulacin/Shared%20Documents/General/2023/Regulaci%C3%B3n/134_08_2023_SSPD_HONORABLES_SENADORES/VANTI/Respuesta%2010954269%20-%200%20Contestaci%C3%B3n%20Radicado%20a%20citar%2020232312595511%20VANTI%20SSPD%20(V1).pdf?csf=1&amp;web=1&amp;e=P688dL" xr:uid="{E49AD40A-C772-4DDD-A219-F167BA6AC2DE}"/>
    <hyperlink ref="H264" r:id="rId219" xr:uid="{D3C7F3A3-44CB-4CC3-97E4-61CAF6E6C13A}"/>
    <hyperlink ref="H265" r:id="rId220" xr:uid="{7929EB03-C88F-4754-A0EA-4DD52228F4B0}"/>
    <hyperlink ref="H266" r:id="rId221" xr:uid="{5B79FFBC-0A3D-4791-926C-687F993555B7}"/>
    <hyperlink ref="I264" r:id="rId222" xr:uid="{29E29172-693C-4648-B976-ECD1ADA7DEF9}"/>
    <hyperlink ref="I242:I243" r:id="rId223" display="https://grupovanti.sharepoint.com/:f:/r/sites/GerenciadeRegulacin/Shared%20Documents/General/2023/Regulaci%C3%B3n/Circular%20CREG%20050/15%20Agosto?csf=1&amp;web=1&amp;e=7puGQk" xr:uid="{CBD40C23-95AE-45CE-9B34-FCAA9F66F67D}"/>
    <hyperlink ref="G225" r:id="rId224" display="https://grupovanti.sharepoint.com/:b:/r/sites/GerenciadeRegulacin/Shared%20Documents/General/2023/Regulaci%C3%B3n/142_08_2023_Requerimiento%20-%20Radicado%20SSPD%20No.%2020235290452932/142%20Respuesta%20a%20Radicado%20No.%2020232312758571%20SSDP%20GOR_rev%20OM-JUR%20V1.pdf?csf=1&amp;web=1&amp;e=TBaLLq" xr:uid="{D7BA078F-6536-478A-8442-89589E6CF8F2}"/>
    <hyperlink ref="G224" r:id="rId225" display="https://grupovanti.sharepoint.com/:b:/r/sites/GerenciadeRegulacin/Shared%20Documents/General/2023/Regulaci%C3%B3n/145_08_2023_%20Respuesta%20Radicado%20No.%2020232312961041.%20Ingresos%20por%20concepto%20de%20reconexi%C3%B3n/20232312961041_230817_085611%20(1).pdf?csf=1&amp;web=1&amp;e=JwmbAX" xr:uid="{A3EA7FED-CF21-40C1-A33D-799A11AADC8A}"/>
    <hyperlink ref="H224" r:id="rId226" display="https://grupovanti.sharepoint.com/:b:/r/sites/GerenciadeRegulacin/Shared%20Documents/General/2023/Regulaci%C3%B3n/145_08_2023_%20Respuesta%20Radicado%20No.%2020232312961041.%20Ingresos%20por%20concepto%20de%20reconexi%C3%B3n/145-Respuesta%20SSPD%20Radicado%2020232312961041.pdf?csf=1&amp;web=1&amp;e=08TIqK" xr:uid="{A924222B-1CF3-4D92-802F-7915CD08E0E1}"/>
    <hyperlink ref="G230" r:id="rId227" display="https://grupovanti.sharepoint.com/:b:/r/sites/GerenciadeRegulacin/Shared%20Documents/General/2023/Regulaci%C3%B3n/144_08_2023_Respuesta%20a%20las%20solicitudes%20del%20acta%20de%20la%20audiencia%20virtual%20realizada%20el%2010%20de%20julio%20de%202023/Aclaracion%20Audiencia%20Otros%20Activos%20GNCB.pdf?csf=1&amp;web=1&amp;e=4Q4fzB" xr:uid="{DA1E8210-4753-4AE9-9771-588F12E15F96}"/>
    <hyperlink ref="H230" r:id="rId228" display="https://grupovanti.sharepoint.com/:b:/r/sites/GerenciadeRegulacin/Shared%20Documents/General/2023/Regulaci%C3%B3n/144_08_2023_Respuesta%20a%20las%20solicitudes%20del%20acta%20de%20la%20audiencia%20virtual%20realizada%20el%2010%20de%20julio%20de%202023/Respuesta_a_las_solicitudes_del_acta_de_la_audiencia_virtual_realizada_el_10_de_julio_de_2023_1692193985172.pdf?csf=1&amp;web=1&amp;e=Plpxrd" xr:uid="{45CDDECC-F18F-4B44-BE58-F715C3C8DD6E}"/>
    <hyperlink ref="I230" r:id="rId229" display="https://grupovanti.sharepoint.com/:f:/r/sites/GerenciadeRegulacin/Shared%20Documents/General/2023/Regulaci%C3%B3n/144_08_2023_Respuesta%20a%20las%20solicitudes%20del%20acta%20de%20la%20audiencia%20virtual%20realizada%20el%2010%20de%20julio%20de%202023?csf=1&amp;web=1&amp;e=pnM9Df" xr:uid="{65CD2267-AE7F-4F04-B0D4-44D7BE303413}"/>
    <hyperlink ref="G231" r:id="rId230" display="https://grupovanti.sharepoint.com/:b:/r/sites/GerenciadeRegulacin/Shared%20Documents/General/2023/Regulaci%C3%B3n/141_08_2023_CREG_VANTI_Respuesta%20a%20las%20solicitudes%20del%20acta%20de%20la%20audiencia%20realizada%20el%2019%20de%20julio%20de%202023/Aclaracion%20Audiencia%20VANTI.pdf?csf=1&amp;web=1&amp;e=dA9v0p" xr:uid="{EEF4B588-9261-4638-8FC8-12979DD75124}"/>
    <hyperlink ref="H231" r:id="rId231" display="https://grupovanti.sharepoint.com/:b:/r/sites/GerenciadeRegulacin/Shared%20Documents/General/2023/Regulaci%C3%B3n/141_08_2023_CREG_VANTI_Respuesta%20a%20las%20solicitudes%20del%20acta%20de%20la%20audiencia%20realizada%20el%2019%20de%20julio%20de%202023/Respuesta_a_las_solicitudes_del_acta_de_la_audiencia_realizada_el_19_de_julio_de_2023_Vanti_16921939567.pdf?csf=1&amp;web=1&amp;e=cLkfh6" xr:uid="{E4D444CE-FA3C-439C-8057-E06A3D34C2AB}"/>
    <hyperlink ref="I231" r:id="rId232" display="https://grupovanti.sharepoint.com/:f:/r/sites/GerenciadeRegulacin/Shared%20Documents/General/2023/Regulaci%C3%B3n/141_08_2023_CREG_VANTI_Respuesta%20a%20las%20solicitudes%20del%20acta%20de%20la%20audiencia%20realizada%20el%2019%20de%20julio%20de%202023?csf=1&amp;web=1&amp;e=QLyhKZ" xr:uid="{C2AD85CC-7B7D-484B-B402-1A9F6C1E2A9A}"/>
    <hyperlink ref="G251" r:id="rId233" xr:uid="{E08A8FE5-BF4B-44AE-B984-3915FDE71C2D}"/>
    <hyperlink ref="G267" r:id="rId234" xr:uid="{28E51A36-4960-46D1-8A24-3C6D2429740B}"/>
    <hyperlink ref="H267" r:id="rId235" xr:uid="{F464E431-6C6D-4D85-943B-BE7B611C0F35}"/>
    <hyperlink ref="H248" r:id="rId236" xr:uid="{4FD06F1B-4D9F-4219-A5B6-5BDD3F7D169C}"/>
    <hyperlink ref="H244" r:id="rId237" display="https://grupovanti.sharepoint.com/:b:/r/sites/GerenciadeRegulacin/Shared%20Documents/General/2023/Regulaci%C3%B3n/134_08_2023_SSPD_HONORABLES_SENADORES/GNCB/Respuesta%2010830107%20-%200%20Contestaci%C3%B3n%20Radicado%20a%20citar%2020232312595711%20GNCB%20SSPD%20(V3).pdf?csf=1&amp;web=1&amp;e=ZxWr96" xr:uid="{308851E2-338E-4B78-B6DD-32FB9ADB4F43}"/>
    <hyperlink ref="H242" r:id="rId238" display="https://grupovanti.sharepoint.com/:b:/r/sites/GerenciadeRegulacin/Shared%20Documents/General/2023/Regulaci%C3%B3n/134_08_2023_SSPD_HONORABLES_SENADORES/GNCR/Respuesta%2010831575%20-%200%20Contestaci%C3%B3n%20Radicado%20a%20citar%2020232312595591%20GNC%20SSPD%20(V3).pdf?csf=1&amp;web=1&amp;e=mYOQX5" xr:uid="{D09ADE2E-F8A6-40B8-9B0F-914CA6954A62}"/>
    <hyperlink ref="I241" r:id="rId239" xr:uid="{F77FC114-D3F8-461D-93BD-03BF94E2AE5F}"/>
    <hyperlink ref="G239" r:id="rId240" display="https://grupovanti.sharepoint.com/:b:/r/sites/GerenciadeRegulacin/Shared%20Documents/General/2023/Regulaci%C3%B3n/132_08_2023_SSPD_REQInfoTarifaria_20232312522141/Requerimiento%20verificaci%C3%B3n%20tarifaria%20mayo%2020232312522141_%20Vanti.pdf?csf=1&amp;web=1&amp;e=wKb3KQ" xr:uid="{EAED138F-E17B-4B1C-B102-EB596F94B1B3}"/>
    <hyperlink ref="H239" r:id="rId241" display="https://grupovanti.sharepoint.com/:b:/r/sites/GerenciadeRegulacin/Shared%20Documents/General/2023/Regulaci%C3%B3n/132_08_2023_SSPD_REQInfoTarifaria_20232312522141/Requerimiento%20verificaci%C3%B3n%20tarifaria%20mayo%2020232312522141_%20Vanti.pdf?csf=1&amp;web=1&amp;e=wKb3KQ" xr:uid="{A72297B9-44AF-452F-91CB-3BAB5D6420FA}"/>
    <hyperlink ref="I239" r:id="rId242" xr:uid="{832A9D68-09C5-45F3-B929-DE06B4DD2A63}"/>
    <hyperlink ref="H238" r:id="rId243" xr:uid="{2446FB97-EBDC-403C-A191-F15E5BDE1865}"/>
    <hyperlink ref="G247" r:id="rId244" xr:uid="{6EDEAF90-DC62-4DA9-8C9B-6D257225D100}"/>
    <hyperlink ref="G233" r:id="rId245" xr:uid="{F0D52630-3070-42C7-B909-627BEFBBF5E2}"/>
    <hyperlink ref="I228" r:id="rId246" xr:uid="{EA9C5F65-6C01-4FEF-841C-62824FCEF558}"/>
    <hyperlink ref="G222" r:id="rId247" xr:uid="{7F5886AD-10FD-480B-A630-A9D9C8EB5CD9}"/>
    <hyperlink ref="H222" r:id="rId248" xr:uid="{6E189578-DADC-408B-83C6-B9E657405615}"/>
    <hyperlink ref="G226" r:id="rId249" display="https://grupovanti.sharepoint.com/:b:/r/sites/GerenciadeRegulacin/Shared%20Documents/General/2023/Regulaci%C3%B3n/151_08_2023_Respuesta%20al%20requerimiento%20con%20n%C3%BAmero%20de%20radicado%20S2023003706%20del%2015%20de/Respuesta%20AUTO%20de%20pruebas%20103%20de%202023%20GNCB.pdf?csf=1&amp;web=1&amp;e=2MXKAx" xr:uid="{48024FF3-9D8C-47E4-9E02-8580AFDDF3F8}"/>
    <hyperlink ref="I308" r:id="rId250" display="https://grupovanti.sharepoint.com/:b:/r/sites/GerenciadeRegulacin/Shared%20Documents/General/2023/Regulaci%C3%B3n/152_08_2023_CREG_Comentarios%20Resoluci%C3%B3n%20CREG%20702%20003%20%E2%80%9CPor%20la%20cual%20se%20reglamentan%20aspectos/Comentarios_Grupo_Vanti_a_la_Resolucion_CREG_702_003_de_2023_1693601036812.pdf?csf=1&amp;web=1&amp;e=Gfauo2" xr:uid="{7F0BF0C4-4AF7-4990-B6CD-9F6F296DA9F5}"/>
    <hyperlink ref="G216" r:id="rId251" xr:uid="{DE79FDB5-C9E9-42B4-96DD-612F61D4B83C}"/>
    <hyperlink ref="G214" r:id="rId252" display="https://grupovanti.sharepoint.com/:b:/r/sites/GerenciadeRegulacin/Shared%20Documents/General/2023/Regulaci%C3%B3n/153_09_2023_CREG_Solicitud%20expediente%202020-0118/Comunicaci%C3%B3n%20CREG%20-%20Solicitud%20de%20acceso%20expediente%20Vanti%20-%2004-09-2023.pdf?csf=1&amp;web=1&amp;e=BNemRl" xr:uid="{066B2B91-8333-4672-B75C-CA2F7CBF64C5}"/>
    <hyperlink ref="G215" r:id="rId253" display="https://grupovanti.sharepoint.com/:b:/r/sites/GerenciadeRegulacin/Shared%20Documents/General/2023/Regulaci%C3%B3n/154_09_2023_CREG_Solicitud%20acceso%20expediente%20GNCB/Comunicaci%C3%B3n%20CREG%20-%20Solicitud%20acceso%20expediente%20GNCB%20-%2004-09-2023.pdf?csf=1&amp;web=1&amp;e=i1QW3V" xr:uid="{BAEF4F45-871F-4676-927D-6C2A936EF5E4}"/>
    <hyperlink ref="G217" r:id="rId254" display="https://grupovanti.sharepoint.com/:b:/r/sites/GerenciadeRegulacin/Shared%20Documents/General/2023/Regulaci%C3%B3n/149_08_2023_Dictamen%20pericial%20con%20intervenci%C3%B3n%20de%20perito%20experto%20para%20expediente/Comunicaci%C3%B3n%20Vanti%20-%20Dictamen%20pericial.pdf?csf=1&amp;web=1&amp;e=XLmYCx" xr:uid="{F08A9B8B-0913-48A0-B438-195610D1F69A}"/>
    <hyperlink ref="I217" r:id="rId255" xr:uid="{A8EE2198-6A71-423D-9544-E08DF986CCD3}"/>
    <hyperlink ref="G220" r:id="rId256" display="https://grupovanti.sharepoint.com/:b:/r/sites/GerenciadeRegulacin/Shared%20Documents/General/2023/Regulaci%C3%B3n/155_08_2024_SICOM_Activacion%20Usuarios/154_08_2023_SICOM_Activaci%C3%B3n%20de%20los%20usuarios%20plataforma%20SICOM%20GNCB/154%20-%20Solicitud%20desbloqueo%20de%20usuarios%20SICOM_cundi.pdf?csf=1&amp;web=1&amp;e=P0hIw0" xr:uid="{4BB56237-9C60-405B-8983-6F4CA2334909}"/>
    <hyperlink ref="G219" r:id="rId257" display="https://grupovanti.sharepoint.com/:b:/r/sites/GerenciadeRegulacin/Shared%20Documents/General/2023/Regulaci%C3%B3n/155_08_2024_SICOM_Activacion%20Usuarios/155_08_2023_SICOM_Activaci%C3%B3n%20de%20los%20usuarios%20plataforma%20SICOM%20GNCR/155%20-%20Solicitud%20desbloqueo%20de%20usuarios%20SICOM_gnc.pdf?csf=1&amp;web=1&amp;e=etzaJQ" xr:uid="{C6E971AC-D52B-4E07-BA98-7D0558121764}"/>
    <hyperlink ref="G218" r:id="rId258" display="https://grupovanti.sharepoint.com/:b:/r/sites/GerenciadeRegulacin/Shared%20Documents/General/2023/Regulaci%C3%B3n/155_08_2024_SICOM_Activacion%20Usuarios/156_08_2023_SICOM_Activaci%C3%B3n%20de%20los%20usuarios%20plataforma%20SICOM%20GOR/156%20-%20Solicitud%20desbloqueo%20de%20usuarios%20SICOM_gor.pdf?csf=1&amp;web=1&amp;e=CmyRLQ" xr:uid="{24677217-992C-421D-A5B7-53BEC2F8BDDB}"/>
    <hyperlink ref="I210" r:id="rId259" xr:uid="{2CDDF7D7-C59F-4FD8-BAC8-C939F1114609}"/>
    <hyperlink ref="G204" r:id="rId260" display="https://grupovanti.sharepoint.com/:b:/r/sites/GerenciadeRegulacin/Shared%20Documents/General/2023/Regulaci%C3%B3n/158_09_2023_MME_Certificacion%20prestacion%20de%20servicio%20julio%20y%20agosto%20GRUPO%20VANTI/GNCB/Comunicaci%C3%B3n%20MME%20-%20Certificacion%20prestacion%20de%20servicio%20julio%20y%20agosto%202023%20GNCB.pdf?csf=1&amp;web=1&amp;e=PEc2Fc" xr:uid="{FB33BD7B-6F1B-4BC9-BD9F-08D6FFDAC887}"/>
    <hyperlink ref="G203" r:id="rId261" display="https://grupovanti.sharepoint.com/:b:/r/sites/GerenciadeRegulacin/Shared%20Documents/General/2023/Regulaci%C3%B3n/158_09_2023_MME_Certificacion%20prestacion%20de%20servicio%20julio%20y%20agosto%20GRUPO%20VANTI/GNCR/Comunicaci%C3%B3n%20MME%20-%20Certificacion%20prestacion%20de%20servicio%20julio%20y%20agosto%202023%20GNCR.pdf?csf=1&amp;web=1&amp;e=bbKuaK" xr:uid="{98DDF21A-A3F2-4F83-9089-98C7AA5C3875}"/>
    <hyperlink ref="G202" r:id="rId262" display="https://grupovanti.sharepoint.com/:b:/r/sites/GerenciadeRegulacin/Shared%20Documents/General/2023/Regulaci%C3%B3n/158_09_2023_MME_Certificacion%20prestacion%20de%20servicio%20julio%20y%20agosto%20GRUPO%20VANTI/GOR/Comunicaci%C3%B3n%20MME%20-%20Certificacion%20prestacion%20de%20servicio%20julio%20y%20agosto%202023%20GOR.pdf?csf=1&amp;web=1&amp;e=oDmSBv" xr:uid="{817EFF33-695A-4A12-BB30-19ECB2717840}"/>
    <hyperlink ref="G206" r:id="rId263" xr:uid="{2F37DEDE-382A-4510-A0EF-0067BD36786A}"/>
    <hyperlink ref="G209" r:id="rId264" xr:uid="{6E501849-2667-442B-A607-27147B9BC726}"/>
    <hyperlink ref="G208" r:id="rId265" xr:uid="{B583B93A-81D5-4FBC-A597-B22EE78B8725}"/>
    <hyperlink ref="G207" r:id="rId266" xr:uid="{D0F6AD0D-007B-4910-BB46-C5E60DBDD279}"/>
    <hyperlink ref="I229" r:id="rId267" xr:uid="{E7841C62-1A4D-497D-834F-7CE3CBA63AA6}"/>
    <hyperlink ref="G199" r:id="rId268" xr:uid="{EA8757C7-3A1F-4EEE-A574-2D004323A775}"/>
    <hyperlink ref="G198" r:id="rId269" xr:uid="{F918EE49-4C2F-4274-9329-2A73AFBAB6EF}"/>
    <hyperlink ref="I194" r:id="rId270" display="../../../../../:f:/r/sites/GerenciadeRegulacin/Shared Documents/General/2023/Regulaci%C3%B3n/CREG 073 2023?csf=1&amp;web=1&amp;e=qTvxyv" xr:uid="{5CFB409E-4AEA-4B4E-A427-17735241110B}"/>
    <hyperlink ref="I209:I211" r:id="rId271" display="../../../../../:f:/r/sites/GerenciadeRegulacin/Shared Documents/General/2023/Regulaci%C3%B3n/CREG 073 2023?csf=1&amp;web=1&amp;e=qTvxyv" xr:uid="{DD156B3D-6408-4473-9A71-8AC86718689A}"/>
    <hyperlink ref="G193" r:id="rId272" xr:uid="{0625B22B-A132-4424-9692-9E999EFF2FC3}"/>
    <hyperlink ref="G345" r:id="rId273" xr:uid="{6873A319-CB58-49C8-AA35-555803EDFD81}"/>
    <hyperlink ref="I345" r:id="rId274" xr:uid="{135F9934-515A-404C-9BB1-0B83A75C59C3}"/>
    <hyperlink ref="G344" r:id="rId275" xr:uid="{699F62CA-1A42-40E5-9F8A-A3A564DFD96C}"/>
    <hyperlink ref="G194" r:id="rId276" display="https://grupovanti.sharepoint.com/:b:/r/sites/GerenciadeRegulacin/Shared%20Documents/General/2023/Regulaci%C3%B3n/170_10_2023_CREG_CIRCULAR%20No.%20073%20de%202023-%20REPORTE%20DE%20INFORMACI%C3%93N%20DE%20AOM%20PARA%20LA%20REGULACI%C3%93N%20VIGENCIA%202022%20VANTI/170%20-%20Respuesta%20Circular%20CREG%20073-2023%20AOM%20vigencia%202022_vanti.pdf?csf=1&amp;web=1&amp;e=ubgtgI" xr:uid="{B4089FF4-F4BD-4A44-B479-BD396E98D457}"/>
    <hyperlink ref="G195" r:id="rId277" display="https://grupovanti.sharepoint.com/:b:/r/sites/GerenciadeRegulacin/Shared%20Documents/General/2023/Regulaci%C3%B3n/171_10_2023_CREG_CIRCULAR%20No.%20073%20de%202023-%20REPORTE%20DE%20INFORMACI%C3%93N%20DE%20AOM%20PARA%20LA%20REGULACI%C3%93N%20VIGENCIA%202022%20GNCB/171%20-%20Respuesta%20Circular%20CREG%20073-2023%20AOM%20vigencia%202022_cundi.pdf?csf=1&amp;web=1&amp;e=QEGrM5" xr:uid="{737F36A4-43EB-4FC0-9BFD-7B44D149C87F}"/>
    <hyperlink ref="G197" r:id="rId278" display="https://grupovanti.sharepoint.com/:b:/r/sites/GerenciadeRegulacin/Shared%20Documents/General/2023/Regulaci%C3%B3n/173_10_2023_CREG_CIRCULAR%20No.%20073%20de%202023-%20REPORTE%20DE%20INFORMACI%C3%93N%20DE%20AOM%20PARA%20LA%20REGULACI%C3%93N%20VIGENCIA%202022%20GNCR/173%20-%20Respuesta%20Circular%20CREG%20073-2023%20AOM%20vigencia%202022_gasnacer.pdf?csf=1&amp;web=1&amp;e=32qCBr" xr:uid="{0E7523D1-0EF6-4A68-8C7A-66E36202669E}"/>
    <hyperlink ref="G192" r:id="rId279" display="https://grupovanti.sharepoint.com/:u:/r/sites/GerenciadeRegulacin/Shared%20Documents/General/2023/Regulaci%C3%B3n/176_10_2023_COBERTURAS%20III%20TRIMESTRE%20GRUPO%20VANTI/REPORTE%20TRIMESTRAL%20DE%20COBERTURAS%20GAS%20COMBUSTIBLE%20POR%20REDES%20TRIMESTRE%20III%202023%20-%20VANTI.eml?csf=1&amp;web=1&amp;e=7fUUtc" xr:uid="{FF47FF8F-96D8-4AEC-A4BD-D36E45E94926}"/>
    <hyperlink ref="G191" r:id="rId280" display="https://grupovanti.sharepoint.com/:u:/r/sites/GerenciadeRegulacin/Shared%20Documents/General/2023/Regulaci%C3%B3n/176_10_2023_COBERTURAS%20III%20TRIMESTRE%20GRUPO%20VANTI/REPORTE%20TRIMESTRAL%20DE%20COBERTURAS%20GAS%20COMBUSTIBLE%20POR%20REDES%20TRIMESTRE%20III%202023%20-%20GAS%20NATURAL%20CUNDIBOYACENSE.eml?csf=1&amp;web=1&amp;e=Tunv8W" xr:uid="{864E1269-85DE-4834-B76B-DEF60F6788AC}"/>
    <hyperlink ref="G190" r:id="rId281" display="https://grupovanti.sharepoint.com/:u:/r/sites/GerenciadeRegulacin/Shared%20Documents/General/2023/Regulaci%C3%B3n/176_10_2023_COBERTURAS%20III%20TRIMESTRE%20GRUPO%20VANTI/REPORTE%20TRIMESTRAL%20DE%20COBERTURAS%20GAS%20COMBUSTIBLE%20POR%20REDES%20TRIMESTRE%20III%202023%20-%20GAS%20NATURAL%20DEL%20ORIENTE.eml?csf=1&amp;web=1&amp;e=dymdaL" xr:uid="{1120B41D-8FA0-483C-9373-985B15EBC2BD}"/>
    <hyperlink ref="G189" r:id="rId282" display="https://grupovanti.sharepoint.com/:u:/r/sites/GerenciadeRegulacin/Shared%20Documents/General/2023/Regulaci%C3%B3n/176_10_2023_COBERTURAS%20III%20TRIMESTRE%20GRUPO%20VANTI/REPORTE%20TRIMESTRAL%20DE%20COBERTURAS%20GAS%20COMBUSTIBLE%20POR%20REDES%20TRIMESTRE%20III%202023%20-%20GAS%20NATURAL%20DEL%20CESAR.eml?csf=1&amp;web=1&amp;e=xneul4" xr:uid="{CB7F959C-8401-4114-B226-217C6CFD4BB6}"/>
    <hyperlink ref="G188" r:id="rId283" xr:uid="{08AA4C06-C0B5-4820-8982-634AB775C251}"/>
    <hyperlink ref="I188" r:id="rId284" xr:uid="{47764E6F-83DB-41F0-A473-A6EBB33CD25B}"/>
    <hyperlink ref="G212" r:id="rId285" xr:uid="{DA4BDC57-74CD-4923-BAC4-BC6AFFFDECB7}"/>
    <hyperlink ref="G187" r:id="rId286" display="https://grupovanti.sharepoint.com/:b:/r/sites/GerenciadeRegulacin/Shared%20Documents/General/2023/Regulaci%C3%B3n/178_10_2023_SSPD_Requerimiento%20de%20informaci%C3%B3n%20tarifaria%20periodo%20julio%20y%20agosto%202023/Requerimiento%2020232313862531%20de%20informaci%C3%B3n%20tarifaria%20periodo%20julio%20y%20agosto%202023.pdf?csf=1&amp;web=1&amp;e=Ti4ocv" xr:uid="{51E20F04-262D-42B8-85FC-844D06B18DC1}"/>
    <hyperlink ref="I187" r:id="rId287" xr:uid="{FBB4413D-7B99-428D-85B9-5605F6540DF5}"/>
    <hyperlink ref="G177" r:id="rId288" xr:uid="{467580B0-8065-42FA-9AA5-5D4BACAE757E}"/>
    <hyperlink ref="G183" r:id="rId289" xr:uid="{3DFE81E3-56D6-4EFC-B35D-62EABAF5A6B6}"/>
    <hyperlink ref="G175" r:id="rId290" display="https://grupovanti.sharepoint.com/:b:/r/sites/GerenciadeRegulacin/Shared%20Documents/General/2023/Regulaci%C3%B3n/188_11_2023_Solicitud%20ampliaci%C3%B3n%20plazo%20Auto%20de%20Pruebas%20170%20del%208%20de%20noviembre%20de%202023/Comunicaci%C3%B3n%20Vanti-Solicitud%20de%20ampliaci%C3%B3n%20plazo%20auto%20pruebas-16nov2023.pdf?csf=1&amp;web=1&amp;e=Oa1Zte" xr:uid="{507C3F08-4354-4C58-AA59-1E436A4472ED}"/>
    <hyperlink ref="G166" r:id="rId291" display="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Vanti.pdf?csf=1&amp;web=1&amp;e=3KpI8u" xr:uid="{3C1955FE-9312-4B08-A589-E86D360DB9A7}"/>
    <hyperlink ref="G168" r:id="rId292" display="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OR.pdf?csf=1&amp;web=1&amp;e=ehcZth" xr:uid="{EDEA869A-FC73-4024-9B8B-0AFAAF64C788}"/>
    <hyperlink ref="G167" r:id="rId293" display="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NCR.pdf?csf=1&amp;web=1&amp;e=LmDN2R" xr:uid="{C4FB4935-8F17-4712-8DCD-255EC24B708B}"/>
    <hyperlink ref="I166" r:id="rId294" display="https://grupovanti.sharepoint.com/:f:/r/sites/GerenciadeRegulacin/Shared%20Documents/General/2023/Regulaci%C3%B3n/MME/Certificaci%C3%B3n%20de%20la%20prestaci%C3%B3n%20del%20servicio%20de%20gas%20combustible%20por%20redes%20de%20tuber%C3%ADa%20para%20los%20meses%20de%20octubre%20y%20noviembre%202023?csf=1&amp;web=1&amp;e=ecEzZY" xr:uid="{1B12F920-F99D-42DF-8FB3-65A694D9433E}"/>
    <hyperlink ref="I179:I180" r:id="rId295" display="https://grupovanti.sharepoint.com/:f:/r/sites/GerenciadeRegulacin/Shared%20Documents/General/2023/Regulaci%C3%B3n/MME/Certificaci%C3%B3n%20de%20la%20prestaci%C3%B3n%20del%20servicio%20de%20gas%20combustible%20por%20redes%20de%20tuber%C3%ADa%20para%20los%20meses%20de%20octubre%20y%20noviembre%202023?csf=1&amp;web=1&amp;e=ecEzZY" xr:uid="{E35465F9-1B41-4A31-8539-79ACB41232C3}"/>
    <hyperlink ref="G176" r:id="rId296" xr:uid="{6464019F-4280-4B14-BF05-27FF7CF3EEA7}"/>
    <hyperlink ref="G358" r:id="rId297" display="https://grupovanti.sharepoint.com/:f:/r/sites/GerenciadeRegulacin/Shared%20Documents/General/2023/Regulaci%C3%B3n/175_10_2023_Aporte%20de%20dictamen%20pericial%20con%20intervenci%C3%B3n%20de%20perito%20experto%20para%20expediente%20tarifario%20CREG?csf=1&amp;web=1&amp;e=rvs85c" xr:uid="{DEF43A4E-BC8F-44DB-AE3D-A0072B0AE8BB}"/>
    <hyperlink ref="I358" r:id="rId298" display="https://grupovanti.sharepoint.com/:f:/r/sites/GerenciadeRegulacin/Shared%20Documents/General/2023/Regulaci%C3%B3n/175_10_2023_Aporte%20de%20dictamen%20pericial%20con%20intervenci%C3%B3n%20de%20perito%20experto%20para%20expediente%20tarifario%20CREG?csf=1&amp;web=1&amp;e=dwLST2" xr:uid="{EACBDF73-0D8A-4B6C-8F47-F40798D78228}"/>
    <hyperlink ref="G160" r:id="rId299" xr:uid="{B53BD10B-24F7-49F9-9711-9E66569096B5}"/>
    <hyperlink ref="H166" r:id="rId300" display="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Vanti.pdf?csf=1&amp;web=1&amp;e=3KpI8u" xr:uid="{370BFF79-0F20-430A-8BDA-F61E5A3662D6}"/>
    <hyperlink ref="H167" r:id="rId301" display="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NCR.pdf?csf=1&amp;web=1&amp;e=LmDN2R" xr:uid="{DAD7E610-270B-4253-899F-45CEB83DD1BC}"/>
    <hyperlink ref="H168" r:id="rId302" display="https://grupovanti.sharepoint.com/:b:/r/sites/GerenciadeRegulacin/Shared%20Documents/General/2023/Regulaci%C3%B3n/MME/Certificaci%C3%B3n%20de%20la%20prestaci%C3%B3n%20del%20servicio%20de%20gas%20combustible%20por%20redes%20de%20tuber%C3%ADa%20para%20los%20meses%20de%20octubre%20y%20noviembre%202023/Comunicaci%C3%B3n%20MME%20-%20Certificacion%20prestacion%20de%20servicio%20octubre%20y%20noviembre%202023%20GOR.pdf?csf=1&amp;web=1&amp;e=ehcZth" xr:uid="{D5F435A8-F5AE-46BF-A303-8907E5E0F7C6}"/>
    <hyperlink ref="G169" r:id="rId303" display="https://grupovanti.sharepoint.com/:b:/r/sites/GerenciadeRegulacin/Shared%20Documents/General/2023/Regulaci%C3%B3n/189_11_2023_Requerimiento%20de%20informaci%C3%B3n%20tarifaria%20periodo%20septiembre%202023,%20copia%20de%20las%20facturas/20232314584451.pdf?csf=1&amp;web=1&amp;e=mwOw9M" xr:uid="{59578F7A-FB02-4322-808D-CDA568AE6542}"/>
    <hyperlink ref="H175" r:id="rId304" display="https://grupovanti.sharepoint.com/:b:/r/sites/GerenciadeRegulacin/Shared%20Documents/General/2023/Regulaci%C3%B3n/188_11_2023_Solicitud%20ampliaci%C3%B3n%20plazo%20Auto%20de%20Pruebas%20170%20del%208%20de%20noviembre%20de%202023/Comunicaci%C3%B3n%20Vanti-Solicitud%20de%20ampliaci%C3%B3n%20plazo%20auto%20pruebas-16nov2023.pdf?csf=1&amp;web=1&amp;e=Oa1Zte" xr:uid="{66EBC4BB-DFD1-467E-8AD6-F05477C811D3}"/>
    <hyperlink ref="H247" r:id="rId305" xr:uid="{DEB7B5DE-668E-4914-8DD1-051BF11E723C}"/>
    <hyperlink ref="G235" r:id="rId306" display="https://grupovanti.sharepoint.com/:b:/r/sites/GerenciadeRegulacin/Shared%20Documents/General/2023/Regulaci%C3%B3n/148_08_2023_%20Comentarios%20Grupo%20Vanti%20al%20proyecto%20de%20Resoluci%C3%B3n%20705%20003%20DE%202023%20reglamento%20interno/Comentarios%20Resoluci%C3%B3n%20705%20003%20de%202023.pdf?csf=1&amp;web=1&amp;e=oxYJe6," xr:uid="{E879768B-DC0F-4954-8584-E3E256FD5358}"/>
    <hyperlink ref="G308" r:id="rId307" display="https://grupovanti.sharepoint.com/:b:/r/sites/GerenciadeRegulacin/Shared%20Documents/General/2023/Regulaci%C3%B3n/152_08_2023_CREG_Comentarios%20Resoluci%C3%B3n%20CREG%20702%20003%20%E2%80%9CPor%20la%20cual%20se%20reglamentan%20aspectos/Comentarios%20Vanti%20CREG%20702-003_F.pdf?csf=1&amp;web=1&amp;e=hRtxaf" xr:uid="{62E953AC-2FB2-4A57-BE80-D955B63A89BA}"/>
    <hyperlink ref="H226" r:id="rId308" display="https://grupovanti.sharepoint.com/:b:/r/sites/GerenciadeRegulacin/Shared%20Documents/General/2023/Regulaci%C3%B3n/151_08_2023_Respuesta%20al%20requerimiento%20con%20n%C3%BAmero%20de%20radicado%20S2023003706%20del%2015%20de/Respuesta_al_requerimiento_con_Radicado_S2023003706_del_15_de_agosto_de_2023___AUTO_0000103_del_2023_1693579303305.pdf?csf=1&amp;web=1&amp;e=R2Yk6x" xr:uid="{6253254F-6472-45A3-B60F-EC134AD78A81}"/>
    <hyperlink ref="H220" r:id="rId309" display="https://grupovanti.sharepoint.com/:b:/r/sites/GerenciadeRegulacin/Shared%20Documents/General/2023/Regulaci%C3%B3n/155_08_2024_SICOM_Activacion%20Usuarios/154_08_2023_SICOM_Activaci%C3%B3n%20de%20los%20usuarios%20plataforma%20SICOM%20GNCB/154%20-%20Solicitud%20desbloqueo%20de%20usuarios%20SICOM_cundi.pdf?csf=1&amp;web=1&amp;e=P0hIw0" xr:uid="{F0E662ED-88BE-4232-9D81-EB603109BD3E}"/>
    <hyperlink ref="H219" r:id="rId310" display="https://grupovanti.sharepoint.com/:b:/r/sites/GerenciadeRegulacin/Shared%20Documents/General/2023/Regulaci%C3%B3n/155_08_2024_SICOM_Activacion%20Usuarios/155_08_2023_SICOM_Activaci%C3%B3n%20de%20los%20usuarios%20plataforma%20SICOM%20GNCR/155%20-%20Solicitud%20desbloqueo%20de%20usuarios%20SICOM_gnc.pdf?csf=1&amp;web=1&amp;e=etzaJQ" xr:uid="{F3451053-3BA8-49F0-B462-FDB0A665CFA5}"/>
    <hyperlink ref="H218" r:id="rId311" display="https://grupovanti.sharepoint.com/:b:/r/sites/GerenciadeRegulacin/Shared%20Documents/General/2023/Regulaci%C3%B3n/155_08_2024_SICOM_Activacion%20Usuarios/156_08_2023_SICOM_Activaci%C3%B3n%20de%20los%20usuarios%20plataforma%20SICOM%20GOR/156%20-%20Solicitud%20desbloqueo%20de%20usuarios%20SICOM_gor.pdf?csf=1&amp;web=1&amp;e=CmyRLQ" xr:uid="{CEE3BD85-AA98-43BB-B151-920E24ED0BBC}"/>
    <hyperlink ref="H215" r:id="rId312" display="https://grupovanti.sharepoint.com/:b:/r/sites/GerenciadeRegulacin/Shared%20Documents/General/2023/Regulaci%C3%B3n/154_09_2023_CREG_Solicitud%20acceso%20expediente%20GNCB/Comunicaci%C3%B3n%20CREG%20-%20Solicitud%20acceso%20expediente%20GNCB%20-%2004-09-2023.pdf?csf=1&amp;web=1&amp;e=i1QW3V" xr:uid="{686E1A4E-9C9C-4DDD-848F-1486890F39B7}"/>
    <hyperlink ref="H214" r:id="rId313" display="https://grupovanti.sharepoint.com/:b:/r/sites/GerenciadeRegulacin/Shared%20Documents/General/2023/Regulaci%C3%B3n/153_09_2023_CREG_Solicitud%20expediente%202020-0118/Comunicaci%C3%B3n%20CREG%20-%20Solicitud%20de%20acceso%20expediente%20Vanti%20-%2004-09-2023.pdf?csf=1&amp;web=1&amp;e=BNemRl" xr:uid="{DE84F34E-983A-4A58-AC57-F5FC8E6121E2}"/>
    <hyperlink ref="H217" r:id="rId314" display="https://grupovanti.sharepoint.com/:b:/r/sites/GerenciadeRegulacin/Shared%20Documents/General/2023/Regulaci%C3%B3n/149_08_2023_Dictamen%20pericial%20con%20intervenci%C3%B3n%20de%20perito%20experto%20para%20expediente/Comunicaci%C3%B3n%20Vanti%20-%20Dictamen%20pericial.pdf?csf=1&amp;web=1&amp;e=XLmYCx" xr:uid="{685AB323-BCA5-4D08-89BD-C62F2C9B4A82}"/>
    <hyperlink ref="H204" r:id="rId315" display="https://grupovanti.sharepoint.com/:b:/r/sites/GerenciadeRegulacin/Shared%20Documents/General/2023/Regulaci%C3%B3n/158_09_2023_MME_Certificacion%20prestacion%20de%20servicio%20julio%20y%20agosto%20GRUPO%20VANTI/GNCB/Comunicaci%C3%B3n%20MME%20-%20Certificacion%20prestacion%20de%20servicio%20julio%20y%20agosto%202023%20GNCB.pdf?csf=1&amp;web=1&amp;e=PEc2Fc" xr:uid="{65D5C9A0-9B3C-43AF-BC79-A96BFBCB7AC2}"/>
    <hyperlink ref="H203" r:id="rId316" display="https://grupovanti.sharepoint.com/:b:/r/sites/GerenciadeRegulacin/Shared%20Documents/General/2023/Regulaci%C3%B3n/158_09_2023_MME_Certificacion%20prestacion%20de%20servicio%20julio%20y%20agosto%20GRUPO%20VANTI/GNCR/Comunicaci%C3%B3n%20MME%20-%20Certificacion%20prestacion%20de%20servicio%20julio%20y%20agosto%202023%20GNCR.pdf?csf=1&amp;web=1&amp;e=bbKuaK" xr:uid="{F210E810-EA81-40FA-840B-73088835DB84}"/>
    <hyperlink ref="H202" r:id="rId317" display="https://grupovanti.sharepoint.com/:b:/r/sites/GerenciadeRegulacin/Shared%20Documents/General/2023/Regulaci%C3%B3n/158_09_2023_MME_Certificacion%20prestacion%20de%20servicio%20julio%20y%20agosto%20GRUPO%20VANTI/GOR/Comunicaci%C3%B3n%20MME%20-%20Certificacion%20prestacion%20de%20servicio%20julio%20y%20agosto%202023%20GOR.pdf?csf=1&amp;web=1&amp;e=oDmSBv" xr:uid="{FF7EC35E-7D87-4BEF-8335-852F1873B6B5}"/>
    <hyperlink ref="H206" r:id="rId318" xr:uid="{D12F997B-BB03-4182-8342-E68EF96F4094}"/>
    <hyperlink ref="H209" r:id="rId319" xr:uid="{9B795CE5-E1CF-44E2-94CE-02899B98C4C8}"/>
    <hyperlink ref="H208" r:id="rId320" xr:uid="{9B21BE28-47AB-4F7A-B2AE-64C8CA4D8EB9}"/>
    <hyperlink ref="H207" r:id="rId321" xr:uid="{F22EF91C-D788-4D97-83EB-D44E2A2FD865}"/>
    <hyperlink ref="H192" r:id="rId322" display="https://grupovanti.sharepoint.com/:u:/r/sites/GerenciadeRegulacin/Shared%20Documents/General/2023/Regulaci%C3%B3n/176_10_2023_COBERTURAS%20III%20TRIMESTRE%20GRUPO%20VANTI/REPORTE%20TRIMESTRAL%20DE%20COBERTURAS%20GAS%20COMBUSTIBLE%20POR%20REDES%20TRIMESTRE%20III%202023%20-%20VANTI.eml?csf=1&amp;web=1&amp;e=7fUUtc" xr:uid="{FCBE9040-39FF-4B3B-AEED-D4D4B4EC756D}"/>
    <hyperlink ref="H191" r:id="rId323" display="https://grupovanti.sharepoint.com/:u:/r/sites/GerenciadeRegulacin/Shared%20Documents/General/2023/Regulaci%C3%B3n/176_10_2023_COBERTURAS%20III%20TRIMESTRE%20GRUPO%20VANTI/REPORTE%20TRIMESTRAL%20DE%20COBERTURAS%20GAS%20COMBUSTIBLE%20POR%20REDES%20TRIMESTRE%20III%202023%20-%20GAS%20NATURAL%20CUNDIBOYACENSE.eml?csf=1&amp;web=1&amp;e=Tunv8W" xr:uid="{F4B4B664-E12D-4553-A7C6-874BD7BA31DB}"/>
    <hyperlink ref="H190" r:id="rId324" display="https://grupovanti.sharepoint.com/:u:/r/sites/GerenciadeRegulacin/Shared%20Documents/General/2023/Regulaci%C3%B3n/176_10_2023_COBERTURAS%20III%20TRIMESTRE%20GRUPO%20VANTI/REPORTE%20TRIMESTRAL%20DE%20COBERTURAS%20GAS%20COMBUSTIBLE%20POR%20REDES%20TRIMESTRE%20III%202023%20-%20GAS%20NATURAL%20DEL%20ORIENTE.eml?csf=1&amp;web=1&amp;e=dymdaL" xr:uid="{D27B0DAF-A863-4D60-9FC8-FE3C205D681D}"/>
    <hyperlink ref="H189" r:id="rId325" display="https://grupovanti.sharepoint.com/:u:/r/sites/GerenciadeRegulacin/Shared%20Documents/General/2023/Regulaci%C3%B3n/176_10_2023_COBERTURAS%20III%20TRIMESTRE%20GRUPO%20VANTI/REPORTE%20TRIMESTRAL%20DE%20COBERTURAS%20GAS%20COMBUSTIBLE%20POR%20REDES%20TRIMESTRE%20III%202023%20-%20GAS%20NATURAL%20DEL%20CESAR.eml?csf=1&amp;web=1&amp;e=xneul4" xr:uid="{6DE120D2-6393-4DC2-9C31-CF28D3CD7576}"/>
    <hyperlink ref="H212" r:id="rId326" xr:uid="{6A72F76E-C8C1-41EF-9759-5F125963C41F}"/>
    <hyperlink ref="H187" r:id="rId327" display="https://grupovanti.sharepoint.com/:b:/r/sites/GerenciadeRegulacin/Shared%20Documents/General/2023/Regulaci%C3%B3n/178_10_2023_SSPD_Requerimiento%20de%20informaci%C3%B3n%20tarifaria%20periodo%20julio%20y%20agosto%202023/Requerimiento%2020232313862531%20de%20informaci%C3%B3n%20tarifaria%20periodo%20julio%20y%20agosto%202023.pdf?csf=1&amp;web=1&amp;e=Ti4ocv" xr:uid="{FCF1503D-12BB-42A8-AF4B-DDCE2CEB60B5}"/>
    <hyperlink ref="G184" r:id="rId328" display="https://grupovanti.sharepoint.com/:b:/r/sites/GerenciadeRegulacin/Shared%20Documents/General/2023/Regulaci%C3%B3n/184_11_2023_SSPD_Requerimiento%20de%20Informaci%C3%B3n%20sobre%20suministro%20de%20Gas%20Natural%20mes%20de%20octubre/20232314341021.pdf?csf=1&amp;web=1&amp;e=HHbRTO" xr:uid="{8A623717-6F15-40BD-90D4-0F8A59BD304D}"/>
    <hyperlink ref="H156" r:id="rId329" display="https://grupovanti-my.sharepoint.com/:b:/r/personal/g0574626_grupovanti_com/Documents/Nuevo%20SUI/02.%20Seguimiento/CONSECUTIVOS/Regulaci%C3%B3n%202024/01_01_2024_REVERSION%20AOM%202022/01%202024%20-Solicitud%20reversion%20costos%20ABC%20a%C3%B1o%202022.pdf?csf=1&amp;web=1&amp;e=HheaT" xr:uid="{145E8838-1E35-49AA-B4B7-F7CF6C716E5B}"/>
    <hyperlink ref="G156" r:id="rId330" display="https://grupovanti-my.sharepoint.com/:b:/r/personal/g0574626_grupovanti_com/Documents/Nuevo%20SUI/02.%20Seguimiento/CONSECUTIVOS/Regulaci%C3%B3n%202024/01_01_2024_REVERSION%20AOM%202022/01%202024%20-Solicitud%20reversion%20costos%20ABC%20a%C3%B1o%202022.pdf?csf=1&amp;web=1&amp;e=HheaT8" xr:uid="{78B68033-C91B-4BA0-AA6A-F417B40C8B90}"/>
    <hyperlink ref="I144" r:id="rId331" display="https://grupovanti-my.sharepoint.com/:f:/r/personal/g0574626_grupovanti_com/Documents/Nuevo%20SUI/02.%20Seguimiento/CONSECUTIVOS/Regulaci%C3%B3n%202024/02_01_2024_Respuesta%20Radicado%20No.%2020232314992451%20Requerimiento%20de%20informaci%C3%B3n?csf=1&amp;web=1&amp;e=jVgiLq" xr:uid="{0AF4B5E1-5E0C-49FF-8DEB-07256BD81F73}"/>
    <hyperlink ref="G155" r:id="rId332" xr:uid="{04DBBB02-7322-4010-8F59-869313A8BD3C}"/>
    <hyperlink ref="I155" r:id="rId333" xr:uid="{8E91AC8B-F00D-4364-A7B7-3620AE80AEBA}"/>
    <hyperlink ref="G128" r:id="rId334" display="https://grupovanti.sharepoint.com/sites/GerenciadeRegulacin/Shared%20Documents/General/2023/Regulación%202024/30_02_2024_Requerimiento%20Calidad%20de%20la%20Información%20-%20Taxonomía%20XBRL%202022%20GOR/Respuesta%20Radicado%20No.%2020242300419411%20Requerimiento%20Calidad%20de%20la%20Información%20-%20Taxonomía%20XBRL%202022.%20(1).pdf" xr:uid="{B5A14135-752E-4C88-8D76-E5D15C1D55A1}"/>
    <hyperlink ref="G129" r:id="rId335" display="https://grupovanti.sharepoint.com/sites/GerenciadeRegulacin/Shared%20Documents/General/2023/Regulación%202024/29_02_2024_Requerimiento%20Calidad%20de%20la%20Información%20-%20Taxonomía%20XBRL%202022%20GNCB/Respuesta%20Radicado%20No.%2020242300418781%20Requerimiento%20Calidad%20de%20la%20Información%20-%20Taxonomía%20XBRL%202022..pdf" xr:uid="{E3A706A9-56EB-4379-961D-F7BA446EB80A}"/>
    <hyperlink ref="G144" r:id="rId336" display="https://grupovanti.sharepoint.com/sites/GerenciadeRegulacin/Shared%20Documents/General/2023/Regulación%202024/02_01_2024_Respuesta%20Radicado%20No.%2020232314992451%20Requerimiento%20de%20información/Respuesta%20Radicado%20No.%2020232314992451%20Requerimiento%20de%20información%20tarifaria%20periodo%20octubre%202023.pdf" xr:uid="{B66A10E9-4F0F-4C24-9CB5-FB34C977229B}"/>
    <hyperlink ref="G148" r:id="rId337" display="https://grupovanti.sharepoint.com/sites/GerenciadeRegulacin/Shared%20Documents/General/2023/Regulación%202024/18_01_2024_Información%20Incendios%20Forestales%20GOR/Respuesta%20al%20requerimiento%20SSPD%2020242310301431.%20Información%20incendios%20forestales.%20GOR.pdf" xr:uid="{4DC40B14-C12B-4FCB-BB4D-2E357862BA6D}"/>
    <hyperlink ref="D293" r:id="rId338" display="../../Forms/AllItems.aspx?id=%2Fsites%2FGerenciadeRegulacin%2FShared%20Documents%2F1%2E%20Estrategia%2FDashboards&amp;p=true&amp;ct=1702914696511&amp;or=OWA%2DNT&amp;cid=e053df73%2D38b7%2D0a32%2Dc5a6%2D4735fd266c4a&amp;fromShare=true&amp;ga=1" xr:uid="{BCF45775-63BA-40A1-8945-E45E6C5343DF}"/>
    <hyperlink ref="G211" r:id="rId339" xr:uid="{8EFCBCC9-3FDE-4FDD-8B49-49F2BD4CC569}"/>
    <hyperlink ref="G120" r:id="rId340" display="https://grupovanti.sharepoint.com/sites/GerenciadeRegulacin/Shared%20Documents/General/2023/Regulación%202024/27_02_2024_Certificación%20de%20la%20prestación%20del%20servicio%20(VANTI,%20GNCB,%20GOR,%20GNCR)/Comunicación%20MME%20-%20Certificacion%20prestacion%20de%20servicio%20enero%20y%20febrero%202024%20GNCB.pdf" xr:uid="{39244CDA-5727-4C91-A7D2-8A27358D67B1}"/>
    <hyperlink ref="G130" r:id="rId341" display="https://grupovanti.sharepoint.com/sites/GerenciadeRegulacin/Shared%20Documents/General/2023/Regulación%202024/29_02_2024_Requerimiento%20Calidad%20de%20la%20Información%20-%20Taxonomía%20XBRL%202022%20GNCB/Respuesta%20Radicado%20No.%2020242300418781%20Requerimiento%20Calidad%20de%20la%20Información%20-%20Taxonomía%20XBRL%202022..pdf" xr:uid="{E6273616-1D6A-4EEC-9ED4-23B0972BF076}"/>
    <hyperlink ref="G164" r:id="rId342" xr:uid="{3AA96622-D964-44BA-AF71-0FD543D18094}"/>
    <hyperlink ref="G163" r:id="rId343" xr:uid="{160FA690-DB8E-4357-AAF0-0091F5495A96}"/>
    <hyperlink ref="G162" r:id="rId344" xr:uid="{45298F6F-2E51-4A39-A616-44F11409EA28}"/>
    <hyperlink ref="G161" r:id="rId345" xr:uid="{4788F601-773E-4712-97E6-0F181CFF6227}"/>
    <hyperlink ref="G122" r:id="rId346" display="https://grupovanti.sharepoint.com/sites/GerenciadeRegulacin/Shared%20Documents/General/2023/Regulación%202024/34_02_2024_Respuesta%20al%20radicado%202024230380800015%20-%20Revisión%20calidad%20de%20la%20información%20cargada%20en%20el%20año%202023/Respuesta%20SSPD%2020242300540931%20Revisión%20calidad%20de%20la%20información%20cargada%20a%20SUI%20GOR.pdf" xr:uid="{A16027A3-ECC0-4B04-89DA-8FBDC656AA48}"/>
    <hyperlink ref="G142" r:id="rId347" xr:uid="{0B6D801F-BC74-483C-9D92-6383E3066892}"/>
    <hyperlink ref="G139" r:id="rId348" xr:uid="{C63AEA6B-B7ED-42D5-9D87-B876E7D8A148}"/>
    <hyperlink ref="G145" r:id="rId349" xr:uid="{0608DB79-9E87-4048-8CA5-90E6DCDA9EA1}"/>
    <hyperlink ref="G134" r:id="rId350" xr:uid="{B1E74C8F-0A4C-42FC-9541-9CBD7D723C2A}"/>
    <hyperlink ref="G141" r:id="rId351" xr:uid="{54F142EA-DD86-456D-981C-E9C2A5C5FDDC}"/>
    <hyperlink ref="G135" r:id="rId352" display="https://grupovanti.sharepoint.com/:f:/r/sites/GerenciadeRegulacin/Shared%20Documents/General/2023/Regulaci%C3%B3n%202024/28_01_2024_Respuesta%20a%20la%20solicitud%20de%20ampliaci%C3%B3n%20de%20informaci%C3%B3n%20sobre%20el%20estudio%20de%20costo-beneficio%20para%20la%20agregaci%C3%B3n%20de%20tramos%20regulados%20del%20SNT.%20Radicado%20CREG%20S2024000975?csf=1&amp;web=1&amp;e=jTcu2U" xr:uid="{3A198711-3C7A-41DF-B969-C638CA5F01A4}"/>
    <hyperlink ref="G140" r:id="rId353" xr:uid="{D1632838-3ACA-427C-B71C-EDCFEF3878EE}"/>
    <hyperlink ref="G133" r:id="rId354" xr:uid="{8D260B10-B4B1-4230-A1A4-0A82B133DFB7}"/>
    <hyperlink ref="G114" r:id="rId355" xr:uid="{0B013514-1D13-4134-B94B-583A51B2E7C9}"/>
    <hyperlink ref="G113" r:id="rId356" xr:uid="{2B4C9EFE-5958-4BFA-B5B3-70C7762400E8}"/>
    <hyperlink ref="G95" r:id="rId357" xr:uid="{67D9031D-F72C-4732-A2EA-55A6813B13BC}"/>
    <hyperlink ref="G94" r:id="rId358" xr:uid="{8D37C881-0C17-4EAB-A3D0-04965EAD258A}"/>
    <hyperlink ref="G90" r:id="rId359" xr:uid="{5A12BF12-B29E-4B11-8011-7218A57D17A1}"/>
    <hyperlink ref="G82" r:id="rId360" xr:uid="{B24C78E9-FA80-4B41-822F-C3F99FE8EC19}"/>
    <hyperlink ref="G99" r:id="rId361" xr:uid="{82E4300B-B0CA-4C94-BE52-1B58F5C0039B}"/>
    <hyperlink ref="G154" r:id="rId362" xr:uid="{D1717259-B123-4217-9ADA-54AE5974F450}"/>
    <hyperlink ref="G152" r:id="rId363" xr:uid="{98333286-220E-4E20-9924-4ECB0512FCC1}"/>
    <hyperlink ref="G153" r:id="rId364" xr:uid="{E3A63F22-49E7-4DC4-82AF-7C3F1F5307CD}"/>
    <hyperlink ref="G151" r:id="rId365" xr:uid="{DD04E39F-A910-46D3-AAB1-65D3BD448991}"/>
    <hyperlink ref="G149" r:id="rId366" display="https://grupovanti.sharepoint.com/sites/GerenciadeRegulacin/Shared%20Documents/General/2023/Regulación%202024/17_01_2024_Información%20Incendios%20Forestales%20GNCB/Respuesta%20al%20requerimiento%20SSPD%2020242310301591%20Información%20incendios%20forestales%20GNCB%20(1).pdf" xr:uid="{EFD894FC-DD45-4610-A36A-0370AF87F8B3}"/>
    <hyperlink ref="G150" r:id="rId367" display="https://grupovanti.sharepoint.com/sites/GerenciadeRegulacin/Shared%20Documents/General/2023/Regulación%202024/16_01_2024_Información%20Incendios%20Forestales%20GN/Respuesta%20al%20requerimiento%20SSPD%2020242310301591%20Información%20incendios%20forestales%20GNCB%20(1).pdf" xr:uid="{E0EC98AC-DD10-4BDE-BF43-B9DBC8C919CD}"/>
    <hyperlink ref="G147" r:id="rId368" display="https://grupovanti.sharepoint.com/sites/GerenciadeRegulacin/Shared%20Documents/General/2023/Regulación%202024/19_01_2024_Información%20Incendios%20Forestales%20GNCR/Respuesta%20al%20requerimiento%20SSPD%2020242310301421.%20Información%20incendios%20forestales.%20GNCR.pdf" xr:uid="{29CA14A5-4AB1-4434-8CEB-B166C5F188DF}"/>
    <hyperlink ref="G146" r:id="rId369" xr:uid="{F8991005-50D0-40C7-82E3-171E649E258A}"/>
    <hyperlink ref="G115" r:id="rId370" display="https://grupovanti.sharepoint.com/sites/GerenciadeRegulacin/Shared%20Documents/General/2023/Regulación%202024/43_03_2024_Radicado%20No.%202024231011993%20-%20REQ%20Información%20tarifaria%2001_2024/Respuesta%20al%20radicado%202024203231100012E,%20solicitud%20reversión%20reporte%20Sistema%20Unificado%20de%20Costos%20y%20Gastos-SUCG%20vigencia%202022..zip" xr:uid="{56E2A1A2-4185-409B-8FD7-68DA5E4F7888}"/>
    <hyperlink ref="G106" r:id="rId371" display="https://grupovanti.sharepoint.com/sites/GerenciadeRegulacin/Shared%20Documents/General/2023/Regulación%202024/61_04_2024_Radicado%20No.%2020232301504281%20-%20Requerimiento%20Contrato%20de%20AEGR,%20vigente%20sin%20copia%20en%20RUPS/Radicado%20No.%2020232301504281%20-%20Requerimiento%20Contrato%20de%20AEGR%20-%20IR%20(1).pdf" xr:uid="{617E5664-669F-4932-92D1-7C71863C0058}"/>
    <hyperlink ref="G100" r:id="rId372" xr:uid="{6043DCEB-8858-409A-9968-106B51A02F27}"/>
    <hyperlink ref="G93" r:id="rId373" display="https://grupovanti.sharepoint.com/sites/GerenciadeRegulacin/Shared%20Documents/General/2023/Regulación%202024/72_04_2024_Requerimiento%20Calidad%20de%20la%20Información%20-%20Taxonomía%20XBRL%202022/73%20-%20Respuesta%20SSPD%20Radicado%2020242301412171.pdf" xr:uid="{7542B100-2E97-451F-A24F-7EC9F70C0237}"/>
    <hyperlink ref="G89" r:id="rId374" display="https://grupovanti.sharepoint.com/sites/GerenciadeRegulacin/Shared%20Documents/General/2023/Regulación%202024/73_05_2024_Reiteración%20Solicitud%20de%20información%20AG8%20–%2031-%20radicado%202024EE0073092%20Auditoria%20cumplimiento%20subsidios%20GAS%20MME/Respuesta%20radicado%202024EE0073092_vf.pdf" xr:uid="{E5A25A88-CED5-4445-970A-DD116D01702E}"/>
    <hyperlink ref="G86" r:id="rId375" display="https://grupovanti.sharepoint.com/sites/GerenciadeRegulacin/Shared%20Documents/General/2023/Regulación%202024/78_05_2024_Respuesta%20a%20los%20puntos%20e%20la%20mesa%20de%20trabajo%20SSPD/78-Respuesta%20compromisos%20mesa%20de%20trabajo%2006%20de%20mayo%20SSPD_vf_.pdf" xr:uid="{92DFF509-F6C0-4F4D-877B-72B31268BE2E}"/>
    <hyperlink ref="G138" r:id="rId376" xr:uid="{A27D14F3-4C82-4F79-84C4-3093CAC8D5B7}"/>
    <hyperlink ref="G92" r:id="rId377" xr:uid="{A33BBED6-84C2-42B8-B2F4-F467C27765D2}"/>
    <hyperlink ref="G12" r:id="rId378" display="https://grupovanti.sharepoint.com/:f:/r/sites/GerenciadeRegulacin/Shared%20Documents/General/2023/Regulaci%C3%B3n%202024/162_08_2024%20Solicitud%20de%20reversi%C3%B3n%20voluntaria%20del%20formato%20SUI%20Reporte%20GRCS3%2005%20Y%2006%20-%202024?csf=1&amp;web=1&amp;e=J1G2OL" xr:uid="{F28D18E1-0CDE-4F9B-AF08-2EAE75A59EBE}"/>
    <hyperlink ref="G43" r:id="rId379" xr:uid="{AA6CFB52-062D-4169-8F14-FD9E798126CA}"/>
    <hyperlink ref="G42" r:id="rId380" display="https://grupovanti.sharepoint.com/:f:/r/sites/GerenciadeRegulacin/Shared%20Documents/General/2023/Regulaci%C3%B3n%202024/130_07_2024%20Notificaci%C3%B3n%20falla%20de%20cargue%20del%20Formulario%20de%20Medici%C3%B3n%20del%20nivel%20de%20satisfacci%C3%B3n%20del%20Prestador?csf=1&amp;web=1&amp;e=wiK5EO" xr:uid="{79D919CE-FB58-44B2-A51B-BFD2A09372B2}"/>
    <hyperlink ref="G41" r:id="rId381" xr:uid="{5625EB64-2518-4447-ABAE-D619A96A7A39}"/>
    <hyperlink ref="G40" r:id="rId382" display="https://grupovanti.sharepoint.com/:f:/r/sites/GerenciadeRegulacin/Shared%20Documents/General/2023/Regulaci%C3%B3n%202024/132_07_2024%20Propuestas%20para%20atenci%C3%B3n%20de%20demanda%20esencial%20y%20no%20esencial%20de%20gas%20natural?csf=1&amp;web=1&amp;e=Je8M8o" xr:uid="{2A88F4A0-169A-4015-A40C-D46EF1C92D29}"/>
    <hyperlink ref="G39" r:id="rId383" display="https://grupovanti.sharepoint.com/:f:/r/sites/GerenciadeRegulacin/Shared%20Documents/General/2023/Regulaci%C3%B3n%202024/133_07_2024%20REPORTE%20TRIMESTRAL%20DE%20COBERTURAS%20GAS%20COMBUSTIBLE%20POR%20REDES%20TRIMESTRE%20II%202024%20-%20VANTI?csf=1&amp;web=1&amp;e=yzmQ7T" xr:uid="{8B655776-B4F6-42A7-A3D2-56667C9CB0A9}"/>
    <hyperlink ref="G38" r:id="rId384" display="https://grupovanti.sharepoint.com/:f:/r/sites/GerenciadeRegulacin/Shared%20Documents/General/2023/Regulaci%C3%B3n%202024/134_07_2024%20REPORTE%20TRIMESTRAL%20DE%20COBERTURAS%20GAS%20COMBUSTIBLE%20POR%20REDES%20TRIMESTRE%20II%202024%20-%20GNCR?csf=1&amp;web=1&amp;e=6WMWSM" xr:uid="{C2C3BAEC-C63F-4E45-AABB-A546A9BEF76B}"/>
    <hyperlink ref="G37" r:id="rId385" display="https://grupovanti.sharepoint.com/:f:/r/sites/GerenciadeRegulacin/Shared%20Documents/General/2023/Regulaci%C3%B3n%202024/135_07_2024%20REPORTE%20TRIMESTRAL%20DE%20COBERTURAS%20GAS%20COMBUSTIBLE%20POR%20REDES%20TRIMESTRE%20II%202024%20-%20GOR?csf=1&amp;web=1&amp;e=GRVeQL" xr:uid="{43D02EB9-A025-4DA2-99EA-9BD2DE76348F}"/>
    <hyperlink ref="G36" r:id="rId386" display="https://grupovanti.sharepoint.com/:f:/r/sites/GerenciadeRegulacin/Shared%20Documents/General/2023/Regulaci%C3%B3n%202024/136_07_2024%20REPORTE%20TRIMESTRAL%20DE%20COBERTURAS%20GAS%20COMBUSTIBLE%20POR%20REDES%20TRIMESTRE%20II%202024%20-%20GNCB?csf=1&amp;web=1&amp;e=qQ8a9r" xr:uid="{AD110525-DC89-46CA-AD80-C631CD957104}"/>
    <hyperlink ref="G35" r:id="rId387" xr:uid="{5FC61E29-7F51-4474-8120-6FF246B1FD8D}"/>
    <hyperlink ref="G34" r:id="rId388" xr:uid="{45A665EB-CE04-4457-82EA-75C45A26EC9A}"/>
    <hyperlink ref="G33" r:id="rId389" display="https://grupovanti.sharepoint.com/:f:/r/sites/GerenciadeRegulacin/Shared%20Documents/General/2023/Regulaci%C3%B3n%202024/139_07_2024%20Respuesta%20a%20PQR%20-%20Solicitud%20de%20consignaci%C3%B3n%20valor%20excedente%20GNORIENTE%20S.A.%20E.S.P.%20al%20FSSRI%20-%20VALIDACI%C3%93N%202-2022?csf=1&amp;web=1&amp;e=KAkzex" xr:uid="{B6ED0AEA-00C9-4ADD-8F66-4C29E13399D9}"/>
    <hyperlink ref="G32" r:id="rId390" xr:uid="{1659F90D-22C4-4F1C-95DE-A3A215A78A95}"/>
    <hyperlink ref="G31" r:id="rId391" xr:uid="{D3D3517E-135B-4D20-9C4A-012AAF6851F5}"/>
    <hyperlink ref="G30" r:id="rId392" display="https://grupovanti.sharepoint.com/:f:/r/sites/GerenciadeRegulacin/Shared%20Documents/General/2023/Regulaci%C3%B3n%202024/142_07_2024%20Respuesta%20Radicado%20Suspenci%C3%B3n%20Gas%20Nacer%20(El%20Banco,%20El%20burro,%20Tamalameque,%20Pailitas)?csf=1&amp;web=1&amp;e=SIRgSI" xr:uid="{D8F73106-0777-4766-8FEE-0611EF9F0C35}"/>
    <hyperlink ref="G29" r:id="rId393" xr:uid="{076B5783-274C-4694-902A-54F297B3D6F3}"/>
    <hyperlink ref="G14" r:id="rId394" xr:uid="{B4962682-A58A-4606-A9D1-15100C89E646}"/>
    <hyperlink ref="G13" r:id="rId395" xr:uid="{180A8765-2E64-425F-8D14-53F5F5CEC3CF}"/>
    <hyperlink ref="G28" r:id="rId396" display="https://grupovanti.sharepoint.com/:f:/r/sites/GerenciadeRegulacin/Shared%20Documents/General/2023/Regulaci%C3%B3n%202024/144_07_2024%20Comentarios%20al%20proyecto%20de%20Resoluci%C3%B3n%20702%20008%20DE%202024%20%E2%80%9CPor%20la%20cual%20se%20ajusta%20y%20se%20modifica%20la%20Resoluci%C3%B3n%20102%20008%20de%202022%E2%80%9D?csf=1&amp;web=1&amp;e=pmJtrw" xr:uid="{B117EA4D-FA4C-435E-AF8E-C837998D9287}"/>
    <hyperlink ref="G27" r:id="rId397" xr:uid="{9289C43D-1C87-475F-9FCD-4C60DC487AA5}"/>
    <hyperlink ref="G26" r:id="rId398" xr:uid="{B0702300-BA95-448E-A33F-41B206F133BF}"/>
    <hyperlink ref="G25" r:id="rId399" xr:uid="{295828E6-35FE-4267-ABAA-4670D730E2D8}"/>
    <hyperlink ref="G24" r:id="rId400" xr:uid="{1F0FD25B-B39A-4237-924F-A13F98844BB4}"/>
    <hyperlink ref="G23" r:id="rId401" xr:uid="{A5378F29-E394-4D4D-80D0-5FDD57A34F66}"/>
    <hyperlink ref="G22" r:id="rId402" xr:uid="{8B50B62D-3835-446A-BC32-F9BED20BEAC2}"/>
    <hyperlink ref="G21" r:id="rId403" xr:uid="{1122BC3E-A333-433F-8D93-F64825D9D0AF}"/>
    <hyperlink ref="G20" r:id="rId404" display="https://grupovanti.sharepoint.com/:f:/r/sites/GerenciadeRegulacin/Shared%20Documents/General/2023/Regulaci%C3%B3n%202024/154_07_2024%20Asunto%20Requerimiento%20de%20informaci%C3%B3n%20%E2%80%93%20Resoluciones%20CREG%20de%20aprobaci%C3%B3n%20de%20cargos%20de%20comercializaci%C3%B3n%20y%20distribuci%C3%B3n%20del%20servicio%20de%20gas%20por%20redes%20de%20Tuberia%20Vanti?csf=1&amp;web=1&amp;e=lWpUfW" xr:uid="{87C8738B-7F81-417E-9AF5-79CBAE21702F}"/>
    <hyperlink ref="G19" r:id="rId405" display="https://grupovanti.sharepoint.com/:f:/r/sites/GerenciadeRegulacin/Shared%20Documents/General/2023/Regulaci%C3%B3n%202024/155_07_2024%20Asunto%20Requerimiento%20de%20informaci%C3%B3n%20%E2%80%93%20Resoluciones%20CREG%20de%20aprobaci%C3%B3n%20de%20cargos%20de%20comercializaci%C3%B3n%20y%20distribuci%C3%B3n%20del%20servicio%20de%20gas%20por%20redes%20de%20Tuberia%20Cundi?csf=1&amp;web=1&amp;e=0KChdF" xr:uid="{368D321F-8AAE-455A-91B7-CF07A1583DD3}"/>
    <hyperlink ref="G18" r:id="rId406" display="https://grupovanti.sharepoint.com/:f:/r/sites/GerenciadeRegulacin/Shared%20Documents/General/2023/Regulaci%C3%B3n%202024/156_07_2024%20Asunto%20Requerimiento%20de%20informaci%C3%B3n%20%E2%80%93%20Resoluciones%20CREG%20de%20aprobaci%C3%B3n%20de%20cargos%20de%20comercializaci%C3%B3n%20y%20distribuci%C3%B3n%20del%20servicio%20de%20gas%20por%20redes%20de%20Tuberia%20GNCR?csf=1&amp;web=1&amp;e=pAnQui" xr:uid="{DF0CCE5C-7D87-4B20-9BAC-72756B8527F7}"/>
    <hyperlink ref="G17" r:id="rId407" display="https://grupovanti.sharepoint.com/:f:/r/sites/GerenciadeRegulacin/Shared%20Documents/General/2023/Regulaci%C3%B3n%202024/157_07_2024%20Asunto%20Requerimiento%20de%20informaci%C3%B3n%20%E2%80%93%20Resoluciones%20CREG%20de%20aprobaci%C3%B3n%20de%20cargos%20de%20comercializaci%C3%B3n%20y%20distribuci%C3%B3n%20del%20servicio%20de%20gas%20por%20redes%20de%20Tuberia%20GOR?csf=1&amp;web=1&amp;e=yZSBe5" xr:uid="{72A13CE3-BE62-495E-A06D-9FEAC9F799DD}"/>
    <hyperlink ref="G16" r:id="rId408" xr:uid="{0F566C6C-F726-4BA2-9808-02C8D3B3D341}"/>
    <hyperlink ref="G15" r:id="rId409" xr:uid="{0C57795B-EB8D-473E-938D-815F9513FD15}"/>
  </hyperlinks>
  <pageMargins left="0.7" right="0.7" top="0.75" bottom="0.75" header="0.3" footer="0.3"/>
  <pageSetup paperSize="9" orientation="portrait" r:id="rId410"/>
  <legacyDrawing r:id="rId411"/>
  <tableParts count="1">
    <tablePart r:id="rId4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5908D-BBF8-4BAB-9D38-ABD629E290F7}">
  <sheetPr codeName="Hoja4"/>
  <dimension ref="A2:B25"/>
  <sheetViews>
    <sheetView topLeftCell="A6" workbookViewId="0">
      <selection activeCell="A11" sqref="A11"/>
    </sheetView>
  </sheetViews>
  <sheetFormatPr defaultColWidth="11.42578125" defaultRowHeight="15"/>
  <cols>
    <col min="1" max="1" width="104.42578125" bestFit="1" customWidth="1"/>
    <col min="2" max="2" width="20.42578125" bestFit="1" customWidth="1"/>
    <col min="3" max="3" width="16.140625" bestFit="1" customWidth="1"/>
    <col min="4" max="4" width="10.28515625" bestFit="1" customWidth="1"/>
    <col min="5" max="5" width="12.5703125" bestFit="1" customWidth="1"/>
    <col min="6" max="6" width="5.7109375" bestFit="1" customWidth="1"/>
    <col min="7" max="7" width="5.42578125" bestFit="1" customWidth="1"/>
    <col min="8" max="8" width="21" bestFit="1" customWidth="1"/>
    <col min="9" max="9" width="12.140625" bestFit="1" customWidth="1"/>
    <col min="10" max="10" width="6" bestFit="1" customWidth="1"/>
    <col min="11" max="11" width="5.7109375" bestFit="1" customWidth="1"/>
    <col min="12" max="12" width="15.140625" bestFit="1" customWidth="1"/>
    <col min="13" max="13" width="12.5703125" bestFit="1" customWidth="1"/>
    <col min="14" max="14" width="98.7109375" bestFit="1" customWidth="1"/>
    <col min="15" max="17" width="80.42578125" bestFit="1" customWidth="1"/>
    <col min="18" max="18" width="113.42578125" bestFit="1" customWidth="1"/>
    <col min="19" max="19" width="104.85546875" bestFit="1" customWidth="1"/>
    <col min="20" max="20" width="150.28515625" bestFit="1" customWidth="1"/>
    <col min="21" max="21" width="148.85546875" bestFit="1" customWidth="1"/>
    <col min="22" max="22" width="97.140625" bestFit="1" customWidth="1"/>
    <col min="23" max="23" width="76.7109375" bestFit="1" customWidth="1"/>
    <col min="24" max="24" width="56.7109375" bestFit="1" customWidth="1"/>
    <col min="25" max="25" width="56.28515625" bestFit="1" customWidth="1"/>
    <col min="26" max="26" width="55.85546875" bestFit="1" customWidth="1"/>
    <col min="27" max="27" width="78.7109375" bestFit="1" customWidth="1"/>
    <col min="28" max="29" width="255.7109375" bestFit="1" customWidth="1"/>
    <col min="30" max="30" width="50.28515625" bestFit="1" customWidth="1"/>
    <col min="31" max="31" width="178.7109375" bestFit="1" customWidth="1"/>
    <col min="32" max="32" width="80.140625" bestFit="1" customWidth="1"/>
    <col min="33" max="33" width="95.42578125" bestFit="1" customWidth="1"/>
    <col min="34" max="34" width="73.28515625" bestFit="1" customWidth="1"/>
    <col min="35" max="35" width="35.42578125" bestFit="1" customWidth="1"/>
    <col min="36" max="36" width="119.5703125" bestFit="1" customWidth="1"/>
    <col min="37" max="37" width="148.7109375" bestFit="1" customWidth="1"/>
    <col min="38" max="38" width="58" bestFit="1" customWidth="1"/>
    <col min="39" max="39" width="255.7109375" bestFit="1" customWidth="1"/>
    <col min="40" max="40" width="109" bestFit="1" customWidth="1"/>
    <col min="41" max="41" width="91.42578125" bestFit="1" customWidth="1"/>
    <col min="42" max="42" width="90.28515625" bestFit="1" customWidth="1"/>
    <col min="43" max="43" width="90.5703125" bestFit="1" customWidth="1"/>
    <col min="44" max="44" width="64.7109375" bestFit="1" customWidth="1"/>
    <col min="45" max="45" width="87.42578125" bestFit="1" customWidth="1"/>
    <col min="46" max="47" width="90.42578125" bestFit="1" customWidth="1"/>
    <col min="48" max="48" width="85" bestFit="1" customWidth="1"/>
    <col min="49" max="49" width="63.28515625" bestFit="1" customWidth="1"/>
    <col min="50" max="50" width="145.7109375" bestFit="1" customWidth="1"/>
    <col min="51" max="51" width="139.140625" bestFit="1" customWidth="1"/>
    <col min="52" max="52" width="142" bestFit="1" customWidth="1"/>
    <col min="53" max="53" width="125.28515625" bestFit="1" customWidth="1"/>
    <col min="54" max="54" width="118.42578125" bestFit="1" customWidth="1"/>
    <col min="55" max="55" width="100.28515625" bestFit="1" customWidth="1"/>
    <col min="56" max="56" width="93.42578125" bestFit="1" customWidth="1"/>
    <col min="57" max="57" width="93.85546875" bestFit="1" customWidth="1"/>
    <col min="58" max="58" width="94.42578125" bestFit="1" customWidth="1"/>
    <col min="59" max="59" width="122.5703125" bestFit="1" customWidth="1"/>
    <col min="60" max="60" width="77.42578125" bestFit="1" customWidth="1"/>
    <col min="61" max="62" width="97.28515625" bestFit="1" customWidth="1"/>
    <col min="63" max="63" width="99.5703125" bestFit="1" customWidth="1"/>
    <col min="64" max="64" width="78.140625" bestFit="1" customWidth="1"/>
    <col min="65" max="65" width="97.140625" bestFit="1" customWidth="1"/>
    <col min="66" max="66" width="104.5703125" bestFit="1" customWidth="1"/>
    <col min="67" max="68" width="116.5703125" bestFit="1" customWidth="1"/>
    <col min="69" max="69" width="95.85546875" bestFit="1" customWidth="1"/>
    <col min="70" max="70" width="94.42578125" bestFit="1" customWidth="1"/>
    <col min="71" max="71" width="110.28515625" bestFit="1" customWidth="1"/>
    <col min="72" max="72" width="94.85546875" bestFit="1" customWidth="1"/>
    <col min="73" max="73" width="119.28515625" bestFit="1" customWidth="1"/>
    <col min="74" max="74" width="112.85546875" bestFit="1" customWidth="1"/>
    <col min="75" max="75" width="145.42578125" bestFit="1" customWidth="1"/>
    <col min="76" max="76" width="101" bestFit="1" customWidth="1"/>
    <col min="77" max="77" width="106" bestFit="1" customWidth="1"/>
    <col min="78" max="78" width="94" bestFit="1" customWidth="1"/>
    <col min="79" max="79" width="91.85546875" bestFit="1" customWidth="1"/>
    <col min="80" max="80" width="99.140625" bestFit="1" customWidth="1"/>
    <col min="81" max="81" width="153.42578125" bestFit="1" customWidth="1"/>
    <col min="82" max="82" width="124.140625" bestFit="1" customWidth="1"/>
    <col min="83" max="83" width="79.7109375" bestFit="1" customWidth="1"/>
    <col min="84" max="84" width="113.42578125" bestFit="1" customWidth="1"/>
    <col min="85" max="87" width="106.42578125" bestFit="1" customWidth="1"/>
    <col min="88" max="88" width="92.42578125" bestFit="1" customWidth="1"/>
    <col min="89" max="89" width="224.85546875" bestFit="1" customWidth="1"/>
    <col min="90" max="91" width="189.42578125" bestFit="1" customWidth="1"/>
    <col min="92" max="92" width="142.140625" bestFit="1" customWidth="1"/>
    <col min="93" max="93" width="255.7109375" bestFit="1" customWidth="1"/>
    <col min="94" max="94" width="67.28515625" bestFit="1" customWidth="1"/>
    <col min="95" max="95" width="82.140625" bestFit="1" customWidth="1"/>
    <col min="96" max="96" width="255.7109375" bestFit="1" customWidth="1"/>
    <col min="97" max="97" width="79.7109375" bestFit="1" customWidth="1"/>
    <col min="98" max="98" width="86.28515625" bestFit="1" customWidth="1"/>
    <col min="99" max="99" width="68.28515625" bestFit="1" customWidth="1"/>
    <col min="100" max="100" width="21" bestFit="1" customWidth="1"/>
    <col min="101" max="101" width="255.7109375" bestFit="1" customWidth="1"/>
    <col min="102" max="102" width="86" bestFit="1" customWidth="1"/>
    <col min="103" max="103" width="76.42578125" bestFit="1" customWidth="1"/>
    <col min="104" max="104" width="174.42578125" bestFit="1" customWidth="1"/>
    <col min="105" max="105" width="36.42578125" bestFit="1" customWidth="1"/>
    <col min="106" max="106" width="35.7109375" bestFit="1" customWidth="1"/>
    <col min="107" max="107" width="62.42578125" bestFit="1" customWidth="1"/>
    <col min="108" max="108" width="255.7109375" bestFit="1" customWidth="1"/>
    <col min="109" max="109" width="15.140625" bestFit="1" customWidth="1"/>
    <col min="110" max="110" width="12.5703125" bestFit="1" customWidth="1"/>
  </cols>
  <sheetData>
    <row r="2" spans="1:2">
      <c r="A2" s="4" t="s">
        <v>43</v>
      </c>
      <c r="B2" t="s">
        <v>1373</v>
      </c>
    </row>
    <row r="4" spans="1:2">
      <c r="A4" s="4" t="s">
        <v>1374</v>
      </c>
      <c r="B4" t="s">
        <v>1375</v>
      </c>
    </row>
    <row r="5" spans="1:2">
      <c r="A5" s="5" t="s">
        <v>8</v>
      </c>
      <c r="B5">
        <v>24</v>
      </c>
    </row>
    <row r="6" spans="1:2">
      <c r="A6" s="6" t="s">
        <v>1376</v>
      </c>
      <c r="B6">
        <v>1</v>
      </c>
    </row>
    <row r="7" spans="1:2">
      <c r="A7" s="7" t="s">
        <v>32</v>
      </c>
      <c r="B7">
        <v>1</v>
      </c>
    </row>
    <row r="8" spans="1:2">
      <c r="A8" s="6" t="s">
        <v>1377</v>
      </c>
      <c r="B8">
        <v>22</v>
      </c>
    </row>
    <row r="9" spans="1:2">
      <c r="A9" s="7" t="s">
        <v>32</v>
      </c>
      <c r="B9">
        <v>5</v>
      </c>
    </row>
    <row r="10" spans="1:2">
      <c r="A10" s="7" t="s">
        <v>30</v>
      </c>
      <c r="B10">
        <v>1</v>
      </c>
    </row>
    <row r="11" spans="1:2">
      <c r="A11" s="8" t="s">
        <v>1209</v>
      </c>
      <c r="B11">
        <v>1</v>
      </c>
    </row>
    <row r="12" spans="1:2">
      <c r="A12" s="7" t="s">
        <v>17</v>
      </c>
      <c r="B12">
        <v>16</v>
      </c>
    </row>
    <row r="13" spans="1:2">
      <c r="A13" s="6" t="s">
        <v>1378</v>
      </c>
      <c r="B13">
        <v>1</v>
      </c>
    </row>
    <row r="14" spans="1:2">
      <c r="A14" s="7" t="s">
        <v>30</v>
      </c>
      <c r="B14">
        <v>1</v>
      </c>
    </row>
    <row r="15" spans="1:2">
      <c r="A15" s="8" t="s">
        <v>806</v>
      </c>
      <c r="B15">
        <v>1</v>
      </c>
    </row>
    <row r="16" spans="1:2">
      <c r="A16" s="5" t="s">
        <v>14</v>
      </c>
      <c r="B16">
        <v>20</v>
      </c>
    </row>
    <row r="17" spans="1:2">
      <c r="A17" s="6" t="s">
        <v>1377</v>
      </c>
      <c r="B17">
        <v>20</v>
      </c>
    </row>
    <row r="18" spans="1:2">
      <c r="A18" s="7" t="s">
        <v>32</v>
      </c>
      <c r="B18">
        <v>3</v>
      </c>
    </row>
    <row r="19" spans="1:2">
      <c r="A19" s="7" t="s">
        <v>30</v>
      </c>
      <c r="B19">
        <v>2</v>
      </c>
    </row>
    <row r="20" spans="1:2">
      <c r="A20" s="8" t="s">
        <v>1247</v>
      </c>
      <c r="B20">
        <v>1</v>
      </c>
    </row>
    <row r="21" spans="1:2">
      <c r="A21" s="8" t="s">
        <v>1209</v>
      </c>
      <c r="B21">
        <v>1</v>
      </c>
    </row>
    <row r="22" spans="1:2">
      <c r="A22" s="7" t="s">
        <v>17</v>
      </c>
      <c r="B22">
        <v>15</v>
      </c>
    </row>
    <row r="23" spans="1:2">
      <c r="A23" s="5" t="s">
        <v>3</v>
      </c>
      <c r="B23">
        <v>64</v>
      </c>
    </row>
    <row r="24" spans="1:2">
      <c r="A24" s="5" t="s">
        <v>11</v>
      </c>
      <c r="B24">
        <v>24</v>
      </c>
    </row>
    <row r="25" spans="1:2">
      <c r="A25" s="5" t="s">
        <v>1379</v>
      </c>
      <c r="B25">
        <v>132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4AC65-09FE-47D5-89A4-75649E8D0F14}">
  <sheetPr codeName="Hoja2"/>
  <dimension ref="A1:F48"/>
  <sheetViews>
    <sheetView workbookViewId="0">
      <selection activeCell="A11" sqref="A11"/>
    </sheetView>
  </sheetViews>
  <sheetFormatPr defaultColWidth="11.42578125" defaultRowHeight="15"/>
  <cols>
    <col min="1" max="1" width="58" bestFit="1" customWidth="1"/>
    <col min="2" max="2" width="22.42578125" bestFit="1" customWidth="1"/>
    <col min="3" max="3" width="10.28515625" bestFit="1" customWidth="1"/>
    <col min="4" max="4" width="9.85546875" bestFit="1" customWidth="1"/>
    <col min="5" max="5" width="6.5703125" bestFit="1" customWidth="1"/>
    <col min="6" max="6" width="12.5703125" bestFit="1" customWidth="1"/>
  </cols>
  <sheetData>
    <row r="1" spans="1:6">
      <c r="A1" s="4" t="s">
        <v>43</v>
      </c>
      <c r="B1" t="s">
        <v>1380</v>
      </c>
    </row>
    <row r="3" spans="1:6">
      <c r="A3" s="4" t="s">
        <v>1381</v>
      </c>
      <c r="B3" s="4" t="s">
        <v>1382</v>
      </c>
    </row>
    <row r="4" spans="1:6">
      <c r="A4" s="4" t="s">
        <v>1374</v>
      </c>
      <c r="B4" t="s">
        <v>1383</v>
      </c>
      <c r="C4" t="s">
        <v>1384</v>
      </c>
      <c r="D4" t="s">
        <v>1385</v>
      </c>
      <c r="E4" t="s">
        <v>1386</v>
      </c>
      <c r="F4" t="s">
        <v>1379</v>
      </c>
    </row>
    <row r="5" spans="1:6">
      <c r="A5" s="5" t="s">
        <v>32</v>
      </c>
      <c r="B5">
        <v>47</v>
      </c>
      <c r="C5">
        <v>1</v>
      </c>
      <c r="F5">
        <v>48</v>
      </c>
    </row>
    <row r="6" spans="1:6">
      <c r="A6" s="6" t="s">
        <v>1387</v>
      </c>
      <c r="B6">
        <v>16</v>
      </c>
      <c r="F6">
        <v>16</v>
      </c>
    </row>
    <row r="7" spans="1:6">
      <c r="A7" s="6" t="s">
        <v>1388</v>
      </c>
      <c r="B7">
        <v>4</v>
      </c>
      <c r="F7">
        <v>4</v>
      </c>
    </row>
    <row r="8" spans="1:6">
      <c r="A8" s="6" t="s">
        <v>1377</v>
      </c>
      <c r="B8">
        <v>27</v>
      </c>
      <c r="C8">
        <v>1</v>
      </c>
      <c r="F8">
        <v>28</v>
      </c>
    </row>
    <row r="9" spans="1:6">
      <c r="A9" s="5" t="s">
        <v>30</v>
      </c>
      <c r="B9">
        <v>11</v>
      </c>
      <c r="F9">
        <v>11</v>
      </c>
    </row>
    <row r="10" spans="1:6">
      <c r="A10" s="6" t="s">
        <v>1387</v>
      </c>
      <c r="B10">
        <v>1</v>
      </c>
      <c r="F10">
        <v>1</v>
      </c>
    </row>
    <row r="11" spans="1:6">
      <c r="A11" s="6" t="s">
        <v>1388</v>
      </c>
      <c r="B11">
        <v>4</v>
      </c>
      <c r="F11">
        <v>4</v>
      </c>
    </row>
    <row r="12" spans="1:6">
      <c r="A12" s="6" t="s">
        <v>1377</v>
      </c>
      <c r="B12">
        <v>6</v>
      </c>
      <c r="F12">
        <v>6</v>
      </c>
    </row>
    <row r="13" spans="1:6">
      <c r="A13" s="5" t="s">
        <v>17</v>
      </c>
      <c r="B13">
        <v>87</v>
      </c>
      <c r="C13">
        <v>3</v>
      </c>
      <c r="D13">
        <v>3</v>
      </c>
      <c r="E13">
        <v>1</v>
      </c>
      <c r="F13">
        <v>94</v>
      </c>
    </row>
    <row r="14" spans="1:6">
      <c r="A14" s="6" t="s">
        <v>1387</v>
      </c>
      <c r="B14">
        <v>5</v>
      </c>
      <c r="C14">
        <v>1</v>
      </c>
      <c r="F14">
        <v>6</v>
      </c>
    </row>
    <row r="15" spans="1:6">
      <c r="A15" s="6" t="s">
        <v>1388</v>
      </c>
      <c r="B15">
        <v>1</v>
      </c>
      <c r="F15">
        <v>1</v>
      </c>
    </row>
    <row r="16" spans="1:6">
      <c r="A16" s="6" t="s">
        <v>1377</v>
      </c>
      <c r="B16">
        <v>81</v>
      </c>
      <c r="C16">
        <v>2</v>
      </c>
      <c r="D16">
        <v>3</v>
      </c>
      <c r="E16">
        <v>1</v>
      </c>
      <c r="F16">
        <v>87</v>
      </c>
    </row>
    <row r="17" spans="1:6">
      <c r="A17" s="5" t="s">
        <v>37</v>
      </c>
      <c r="B17">
        <v>2</v>
      </c>
      <c r="F17">
        <v>2</v>
      </c>
    </row>
    <row r="18" spans="1:6">
      <c r="A18" s="6" t="s">
        <v>1387</v>
      </c>
      <c r="B18">
        <v>2</v>
      </c>
      <c r="F18">
        <v>2</v>
      </c>
    </row>
    <row r="19" spans="1:6">
      <c r="A19" s="5" t="s">
        <v>1389</v>
      </c>
      <c r="C19">
        <v>2</v>
      </c>
      <c r="F19">
        <v>2</v>
      </c>
    </row>
    <row r="20" spans="1:6">
      <c r="A20" s="6" t="s">
        <v>1377</v>
      </c>
      <c r="C20">
        <v>2</v>
      </c>
      <c r="F20">
        <v>2</v>
      </c>
    </row>
    <row r="21" spans="1:6">
      <c r="A21" s="5" t="s">
        <v>1390</v>
      </c>
      <c r="B21">
        <v>1</v>
      </c>
      <c r="F21">
        <v>1</v>
      </c>
    </row>
    <row r="22" spans="1:6">
      <c r="A22" s="6" t="s">
        <v>1377</v>
      </c>
      <c r="B22">
        <v>1</v>
      </c>
      <c r="F22">
        <v>1</v>
      </c>
    </row>
    <row r="23" spans="1:6">
      <c r="A23" s="5" t="s">
        <v>36</v>
      </c>
      <c r="B23">
        <v>1</v>
      </c>
      <c r="F23">
        <v>1</v>
      </c>
    </row>
    <row r="24" spans="1:6">
      <c r="A24" s="6" t="s">
        <v>1388</v>
      </c>
      <c r="B24">
        <v>1</v>
      </c>
      <c r="F24">
        <v>1</v>
      </c>
    </row>
    <row r="25" spans="1:6">
      <c r="A25" s="5" t="s">
        <v>1391</v>
      </c>
      <c r="B25">
        <v>1</v>
      </c>
      <c r="F25">
        <v>1</v>
      </c>
    </row>
    <row r="26" spans="1:6">
      <c r="A26" s="6" t="s">
        <v>1377</v>
      </c>
      <c r="B26">
        <v>1</v>
      </c>
      <c r="F26">
        <v>1</v>
      </c>
    </row>
    <row r="27" spans="1:6">
      <c r="A27" s="5" t="s">
        <v>1392</v>
      </c>
      <c r="B27">
        <v>1</v>
      </c>
      <c r="D27">
        <v>1</v>
      </c>
      <c r="F27">
        <v>2</v>
      </c>
    </row>
    <row r="28" spans="1:6">
      <c r="A28" s="6" t="s">
        <v>1388</v>
      </c>
      <c r="B28">
        <v>1</v>
      </c>
      <c r="F28">
        <v>1</v>
      </c>
    </row>
    <row r="29" spans="1:6">
      <c r="A29" s="6" t="s">
        <v>1377</v>
      </c>
      <c r="D29">
        <v>1</v>
      </c>
      <c r="F29">
        <v>1</v>
      </c>
    </row>
    <row r="30" spans="1:6">
      <c r="A30" s="5" t="s">
        <v>40</v>
      </c>
      <c r="C30">
        <v>2</v>
      </c>
      <c r="F30">
        <v>2</v>
      </c>
    </row>
    <row r="31" spans="1:6">
      <c r="A31" s="6" t="s">
        <v>1377</v>
      </c>
      <c r="C31">
        <v>2</v>
      </c>
      <c r="F31">
        <v>2</v>
      </c>
    </row>
    <row r="32" spans="1:6">
      <c r="A32" s="5" t="s">
        <v>1393</v>
      </c>
      <c r="B32">
        <v>4</v>
      </c>
      <c r="F32">
        <v>4</v>
      </c>
    </row>
    <row r="33" spans="1:6">
      <c r="A33" s="6" t="s">
        <v>1377</v>
      </c>
      <c r="B33">
        <v>4</v>
      </c>
      <c r="F33">
        <v>4</v>
      </c>
    </row>
    <row r="34" spans="1:6">
      <c r="A34" s="5" t="s">
        <v>1394</v>
      </c>
      <c r="B34">
        <v>1</v>
      </c>
      <c r="F34">
        <v>1</v>
      </c>
    </row>
    <row r="35" spans="1:6">
      <c r="A35" s="6" t="s">
        <v>1377</v>
      </c>
      <c r="B35">
        <v>1</v>
      </c>
      <c r="F35">
        <v>1</v>
      </c>
    </row>
    <row r="36" spans="1:6">
      <c r="A36" s="5" t="s">
        <v>1395</v>
      </c>
      <c r="C36">
        <v>2</v>
      </c>
      <c r="F36">
        <v>2</v>
      </c>
    </row>
    <row r="37" spans="1:6">
      <c r="A37" s="6" t="s">
        <v>1377</v>
      </c>
      <c r="C37">
        <v>2</v>
      </c>
      <c r="F37">
        <v>2</v>
      </c>
    </row>
    <row r="38" spans="1:6">
      <c r="A38" s="5" t="s">
        <v>1396</v>
      </c>
      <c r="B38">
        <v>1</v>
      </c>
      <c r="D38">
        <v>1</v>
      </c>
      <c r="F38">
        <v>2</v>
      </c>
    </row>
    <row r="39" spans="1:6">
      <c r="A39" s="6" t="s">
        <v>1377</v>
      </c>
      <c r="B39">
        <v>1</v>
      </c>
      <c r="D39">
        <v>1</v>
      </c>
      <c r="F39">
        <v>2</v>
      </c>
    </row>
    <row r="40" spans="1:6">
      <c r="A40" s="5" t="s">
        <v>1397</v>
      </c>
      <c r="D40">
        <v>1</v>
      </c>
      <c r="F40">
        <v>1</v>
      </c>
    </row>
    <row r="41" spans="1:6">
      <c r="A41" s="6" t="s">
        <v>1377</v>
      </c>
      <c r="D41">
        <v>1</v>
      </c>
      <c r="F41">
        <v>1</v>
      </c>
    </row>
    <row r="42" spans="1:6">
      <c r="A42" s="5" t="s">
        <v>1398</v>
      </c>
      <c r="D42">
        <v>1</v>
      </c>
      <c r="F42">
        <v>1</v>
      </c>
    </row>
    <row r="43" spans="1:6">
      <c r="A43" s="6" t="s">
        <v>1377</v>
      </c>
      <c r="D43">
        <v>1</v>
      </c>
      <c r="F43">
        <v>1</v>
      </c>
    </row>
    <row r="44" spans="1:6">
      <c r="A44" s="5" t="s">
        <v>24</v>
      </c>
      <c r="B44">
        <v>1</v>
      </c>
      <c r="F44">
        <v>1</v>
      </c>
    </row>
    <row r="45" spans="1:6">
      <c r="A45" s="6" t="s">
        <v>1377</v>
      </c>
      <c r="B45">
        <v>1</v>
      </c>
      <c r="F45">
        <v>1</v>
      </c>
    </row>
    <row r="46" spans="1:6">
      <c r="A46" s="5" t="s">
        <v>1399</v>
      </c>
      <c r="B46">
        <v>1</v>
      </c>
      <c r="F46">
        <v>1</v>
      </c>
    </row>
    <row r="47" spans="1:6">
      <c r="A47" s="6" t="s">
        <v>1377</v>
      </c>
      <c r="B47">
        <v>1</v>
      </c>
      <c r="F47">
        <v>1</v>
      </c>
    </row>
    <row r="48" spans="1:6">
      <c r="A48" s="5" t="s">
        <v>1379</v>
      </c>
      <c r="B48">
        <v>159</v>
      </c>
      <c r="C48">
        <v>10</v>
      </c>
      <c r="D48">
        <v>7</v>
      </c>
      <c r="E48">
        <v>1</v>
      </c>
      <c r="F48">
        <v>177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498CF-D445-4A95-9C3D-E6CE317F6A24}">
  <sheetPr codeName="Hoja5"/>
  <dimension ref="A1:H5"/>
  <sheetViews>
    <sheetView workbookViewId="0">
      <selection activeCell="A11" sqref="A11"/>
    </sheetView>
  </sheetViews>
  <sheetFormatPr defaultColWidth="11.42578125" defaultRowHeight="15"/>
  <cols>
    <col min="2" max="2" width="11.85546875" bestFit="1" customWidth="1"/>
  </cols>
  <sheetData>
    <row r="1" spans="1:8">
      <c r="A1" s="2"/>
      <c r="B1" s="3"/>
      <c r="C1" s="3"/>
      <c r="D1" s="3"/>
      <c r="E1" s="2"/>
      <c r="F1" s="3"/>
      <c r="G1" s="3"/>
      <c r="H1" s="3"/>
    </row>
    <row r="3" spans="1:8">
      <c r="A3" s="1" t="s">
        <v>1383</v>
      </c>
      <c r="B3" s="1">
        <f>COUNTIF(BD!L:L,"A Tiempo")</f>
        <v>507</v>
      </c>
    </row>
    <row r="4" spans="1:8">
      <c r="A4" s="1" t="s">
        <v>1385</v>
      </c>
      <c r="B4" s="1">
        <f>COUNTIF(BD!L:L,"Retrasado")</f>
        <v>8</v>
      </c>
    </row>
    <row r="5" spans="1:8">
      <c r="A5" s="1" t="s">
        <v>1384</v>
      </c>
      <c r="B5" s="1">
        <f>COUNTIF(BD!L:L,"PENDIENTE")</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0a6a56-03b6-4241-9ebf-5db73880ef36" xsi:nil="true"/>
    <lcf76f155ced4ddcb4097134ff3c332f xmlns="f954b039-7048-4172-9c17-4fdc0467c70c">
      <Terms xmlns="http://schemas.microsoft.com/office/infopath/2007/PartnerControls"/>
    </lcf76f155ced4ddcb4097134ff3c332f>
    <SharedWithUsers xmlns="ef0a6a56-03b6-4241-9ebf-5db73880ef36">
      <UserInfo>
        <DisplayName>Zuñiga Parra Jhon Fabio</DisplayName>
        <AccountId>453</AccountId>
        <AccountType/>
      </UserInfo>
    </SharedWithUsers>
    <_x0031_516 xmlns="f954b039-7048-4172-9c17-4fdc0467c70c"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F0B27DE321A21418911E0EC8526B508" ma:contentTypeVersion="14" ma:contentTypeDescription="Create a new document." ma:contentTypeScope="" ma:versionID="899e6e6d0754085946ab9fd09f4977be">
  <xsd:schema xmlns:xsd="http://www.w3.org/2001/XMLSchema" xmlns:xs="http://www.w3.org/2001/XMLSchema" xmlns:p="http://schemas.microsoft.com/office/2006/metadata/properties" xmlns:ns2="f954b039-7048-4172-9c17-4fdc0467c70c" xmlns:ns3="ef0a6a56-03b6-4241-9ebf-5db73880ef36" targetNamespace="http://schemas.microsoft.com/office/2006/metadata/properties" ma:root="true" ma:fieldsID="aa12604137a7ed60d8cdb64139800da2" ns2:_="" ns3:_="">
    <xsd:import namespace="f954b039-7048-4172-9c17-4fdc0467c70c"/>
    <xsd:import namespace="ef0a6a56-03b6-4241-9ebf-5db73880ef3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DateTaken" minOccurs="0"/>
                <xsd:element ref="ns2:MediaServiceSearchProperties" minOccurs="0"/>
                <xsd:element ref="ns2:_x0031_516"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54b039-7048-4172-9c17-4fdc0467c7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a431edb5-09db-4852-a2ba-02d3539535b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_x0031_516" ma:index="21" nillable="true" ma:displayName="1516" ma:format="Dropdown" ma:internalName="_x0031_516"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ef0a6a56-03b6-4241-9ebf-5db73880ef3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c84b597-18b8-45b6-904b-dcc10a27d7cd}" ma:internalName="TaxCatchAll" ma:showField="CatchAllData" ma:web="ef0a6a56-03b6-4241-9ebf-5db73880ef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5E7B10-FA30-427D-A311-DBB2E37C87F9}"/>
</file>

<file path=customXml/itemProps2.xml><?xml version="1.0" encoding="utf-8"?>
<ds:datastoreItem xmlns:ds="http://schemas.openxmlformats.org/officeDocument/2006/customXml" ds:itemID="{DEB56CEF-B012-4495-AC99-458C1229CAF8}"/>
</file>

<file path=customXml/itemProps3.xml><?xml version="1.0" encoding="utf-8"?>
<ds:datastoreItem xmlns:ds="http://schemas.openxmlformats.org/officeDocument/2006/customXml" ds:itemID="{053802A5-6DF6-479E-93EA-021C8522D77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Ávila Sánchez Paula Angélica</dc:creator>
  <cp:keywords/>
  <dc:description/>
  <cp:lastModifiedBy/>
  <cp:revision/>
  <dcterms:created xsi:type="dcterms:W3CDTF">2022-09-19T15:29:03Z</dcterms:created>
  <dcterms:modified xsi:type="dcterms:W3CDTF">2025-01-01T23:15:36Z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0x0101005F0B27DE321A21418911E0EC8526B508</vt:lpwstr>
  </property>
  <property fmtid="{D5CDD505-2E9C-101B-9397-08002B2CF9AE}" pid="3" name="MediaServiceImageTags">
    <vt:lpwstr/>
  </property>
</Properties>
</file>